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mt2\Downloads\"/>
    </mc:Choice>
  </mc:AlternateContent>
  <xr:revisionPtr revIDLastSave="0" documentId="13_ncr:1_{1FC96408-0C65-4021-B3F6-C94879546026}" xr6:coauthVersionLast="47" xr6:coauthVersionMax="47" xr10:uidLastSave="{00000000-0000-0000-0000-000000000000}"/>
  <bookViews>
    <workbookView xWindow="-108" yWindow="-108" windowWidth="23256" windowHeight="12456" xr2:uid="{7F1231AB-F176-48C6-890F-23D84D79C8F9}"/>
  </bookViews>
  <sheets>
    <sheet name="Order Details PBI (2)" sheetId="2" r:id="rId1"/>
  </sheets>
  <definedNames>
    <definedName name="ExternalData_1" localSheetId="0" hidden="1">'Order Details PBI (2)'!$A$1:$F$501</definedName>
    <definedName name="ExternalData_2" localSheetId="0" hidden="1">'Order Details PBI (2)'!$I$1:$M$501</definedName>
    <definedName name="ExternalData_3" localSheetId="0" hidden="1">'Order Details PBI (2)'!$R$1:$S$37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01" i="2" l="1"/>
  <c r="N501" i="2"/>
  <c r="K501" i="2"/>
  <c r="O500" i="2"/>
  <c r="N500" i="2"/>
  <c r="K500" i="2"/>
  <c r="O499" i="2"/>
  <c r="N499" i="2"/>
  <c r="K499" i="2"/>
  <c r="O498" i="2"/>
  <c r="N498" i="2"/>
  <c r="K498" i="2"/>
  <c r="O497" i="2"/>
  <c r="N497" i="2"/>
  <c r="K497" i="2"/>
  <c r="O496" i="2"/>
  <c r="N496" i="2"/>
  <c r="K496" i="2"/>
  <c r="O495" i="2"/>
  <c r="N495" i="2"/>
  <c r="K495" i="2"/>
  <c r="O494" i="2"/>
  <c r="N494" i="2"/>
  <c r="K494" i="2"/>
  <c r="O493" i="2"/>
  <c r="N493" i="2"/>
  <c r="K493" i="2"/>
  <c r="O492" i="2"/>
  <c r="N492" i="2"/>
  <c r="K492" i="2"/>
  <c r="O491" i="2"/>
  <c r="N491" i="2"/>
  <c r="K491" i="2"/>
  <c r="O490" i="2"/>
  <c r="N490" i="2"/>
  <c r="K490" i="2"/>
  <c r="O489" i="2"/>
  <c r="N489" i="2"/>
  <c r="K489" i="2"/>
  <c r="O488" i="2"/>
  <c r="N488" i="2"/>
  <c r="K488" i="2"/>
  <c r="O487" i="2"/>
  <c r="N487" i="2"/>
  <c r="K487" i="2"/>
  <c r="O486" i="2"/>
  <c r="N486" i="2"/>
  <c r="K486" i="2"/>
  <c r="O485" i="2"/>
  <c r="N485" i="2"/>
  <c r="K485" i="2"/>
  <c r="O484" i="2"/>
  <c r="N484" i="2"/>
  <c r="K484" i="2"/>
  <c r="O483" i="2"/>
  <c r="N483" i="2"/>
  <c r="K483" i="2"/>
  <c r="O482" i="2"/>
  <c r="N482" i="2"/>
  <c r="K482" i="2"/>
  <c r="O481" i="2"/>
  <c r="N481" i="2"/>
  <c r="K481" i="2"/>
  <c r="O480" i="2"/>
  <c r="N480" i="2"/>
  <c r="K480" i="2"/>
  <c r="O479" i="2"/>
  <c r="N479" i="2"/>
  <c r="K479" i="2"/>
  <c r="O478" i="2"/>
  <c r="N478" i="2"/>
  <c r="K478" i="2"/>
  <c r="O477" i="2"/>
  <c r="N477" i="2"/>
  <c r="K477" i="2"/>
  <c r="O476" i="2"/>
  <c r="N476" i="2"/>
  <c r="K476" i="2"/>
  <c r="O475" i="2"/>
  <c r="N475" i="2"/>
  <c r="K475" i="2"/>
  <c r="O474" i="2"/>
  <c r="N474" i="2"/>
  <c r="K474" i="2"/>
  <c r="O473" i="2"/>
  <c r="N473" i="2"/>
  <c r="K473" i="2"/>
  <c r="O472" i="2"/>
  <c r="N472" i="2"/>
  <c r="K472" i="2"/>
  <c r="O471" i="2"/>
  <c r="N471" i="2"/>
  <c r="K471" i="2"/>
  <c r="O470" i="2"/>
  <c r="N470" i="2"/>
  <c r="K470" i="2"/>
  <c r="O469" i="2"/>
  <c r="N469" i="2"/>
  <c r="K469" i="2"/>
  <c r="O468" i="2"/>
  <c r="N468" i="2"/>
  <c r="K468" i="2"/>
  <c r="O467" i="2"/>
  <c r="N467" i="2"/>
  <c r="K467" i="2"/>
  <c r="O466" i="2"/>
  <c r="N466" i="2"/>
  <c r="K466" i="2"/>
  <c r="O465" i="2"/>
  <c r="N465" i="2"/>
  <c r="K465" i="2"/>
  <c r="O464" i="2"/>
  <c r="N464" i="2"/>
  <c r="K464" i="2"/>
  <c r="O463" i="2"/>
  <c r="N463" i="2"/>
  <c r="K463" i="2"/>
  <c r="O462" i="2"/>
  <c r="N462" i="2"/>
  <c r="K462" i="2"/>
  <c r="O461" i="2"/>
  <c r="N461" i="2"/>
  <c r="K461" i="2"/>
  <c r="O460" i="2"/>
  <c r="N460" i="2"/>
  <c r="K460" i="2"/>
  <c r="O459" i="2"/>
  <c r="N459" i="2"/>
  <c r="K459" i="2"/>
  <c r="O458" i="2"/>
  <c r="N458" i="2"/>
  <c r="K458" i="2"/>
  <c r="O457" i="2"/>
  <c r="N457" i="2"/>
  <c r="K457" i="2"/>
  <c r="O456" i="2"/>
  <c r="N456" i="2"/>
  <c r="K456" i="2"/>
  <c r="O455" i="2"/>
  <c r="N455" i="2"/>
  <c r="K455" i="2"/>
  <c r="O454" i="2"/>
  <c r="N454" i="2"/>
  <c r="K454" i="2"/>
  <c r="O453" i="2"/>
  <c r="N453" i="2"/>
  <c r="K453" i="2"/>
  <c r="O452" i="2"/>
  <c r="N452" i="2"/>
  <c r="K452" i="2"/>
  <c r="O451" i="2"/>
  <c r="N451" i="2"/>
  <c r="K451" i="2"/>
  <c r="O450" i="2"/>
  <c r="N450" i="2"/>
  <c r="K450" i="2"/>
  <c r="O449" i="2"/>
  <c r="N449" i="2"/>
  <c r="K449" i="2"/>
  <c r="O448" i="2"/>
  <c r="N448" i="2"/>
  <c r="K448" i="2"/>
  <c r="O447" i="2"/>
  <c r="N447" i="2"/>
  <c r="K447" i="2"/>
  <c r="O446" i="2"/>
  <c r="N446" i="2"/>
  <c r="K446" i="2"/>
  <c r="O445" i="2"/>
  <c r="N445" i="2"/>
  <c r="K445" i="2"/>
  <c r="O444" i="2"/>
  <c r="N444" i="2"/>
  <c r="K444" i="2"/>
  <c r="O443" i="2"/>
  <c r="N443" i="2"/>
  <c r="K443" i="2"/>
  <c r="O442" i="2"/>
  <c r="N442" i="2"/>
  <c r="K442" i="2"/>
  <c r="O441" i="2"/>
  <c r="N441" i="2"/>
  <c r="K441" i="2"/>
  <c r="O440" i="2"/>
  <c r="N440" i="2"/>
  <c r="K440" i="2"/>
  <c r="O439" i="2"/>
  <c r="N439" i="2"/>
  <c r="K439" i="2"/>
  <c r="O438" i="2"/>
  <c r="N438" i="2"/>
  <c r="K438" i="2"/>
  <c r="O437" i="2"/>
  <c r="N437" i="2"/>
  <c r="K437" i="2"/>
  <c r="O436" i="2"/>
  <c r="N436" i="2"/>
  <c r="K436" i="2"/>
  <c r="O435" i="2"/>
  <c r="N435" i="2"/>
  <c r="K435" i="2"/>
  <c r="O434" i="2"/>
  <c r="N434" i="2"/>
  <c r="K434" i="2"/>
  <c r="O433" i="2"/>
  <c r="N433" i="2"/>
  <c r="K433" i="2"/>
  <c r="O432" i="2"/>
  <c r="N432" i="2"/>
  <c r="K432" i="2"/>
  <c r="O431" i="2"/>
  <c r="N431" i="2"/>
  <c r="K431" i="2"/>
  <c r="O430" i="2"/>
  <c r="N430" i="2"/>
  <c r="K430" i="2"/>
  <c r="O429" i="2"/>
  <c r="N429" i="2"/>
  <c r="K429" i="2"/>
  <c r="O428" i="2"/>
  <c r="N428" i="2"/>
  <c r="K428" i="2"/>
  <c r="O427" i="2"/>
  <c r="N427" i="2"/>
  <c r="K427" i="2"/>
  <c r="O426" i="2"/>
  <c r="N426" i="2"/>
  <c r="K426" i="2"/>
  <c r="O425" i="2"/>
  <c r="N425" i="2"/>
  <c r="K425" i="2"/>
  <c r="O424" i="2"/>
  <c r="N424" i="2"/>
  <c r="K424" i="2"/>
  <c r="O423" i="2"/>
  <c r="N423" i="2"/>
  <c r="K423" i="2"/>
  <c r="O422" i="2"/>
  <c r="N422" i="2"/>
  <c r="K422" i="2"/>
  <c r="O421" i="2"/>
  <c r="N421" i="2"/>
  <c r="K421" i="2"/>
  <c r="O420" i="2"/>
  <c r="N420" i="2"/>
  <c r="K420" i="2"/>
  <c r="O419" i="2"/>
  <c r="N419" i="2"/>
  <c r="K419" i="2"/>
  <c r="O418" i="2"/>
  <c r="N418" i="2"/>
  <c r="K418" i="2"/>
  <c r="O417" i="2"/>
  <c r="N417" i="2"/>
  <c r="K417" i="2"/>
  <c r="O416" i="2"/>
  <c r="N416" i="2"/>
  <c r="K416" i="2"/>
  <c r="O415" i="2"/>
  <c r="N415" i="2"/>
  <c r="K415" i="2"/>
  <c r="O414" i="2"/>
  <c r="N414" i="2"/>
  <c r="K414" i="2"/>
  <c r="O413" i="2"/>
  <c r="N413" i="2"/>
  <c r="K413" i="2"/>
  <c r="O412" i="2"/>
  <c r="N412" i="2"/>
  <c r="K412" i="2"/>
  <c r="O411" i="2"/>
  <c r="N411" i="2"/>
  <c r="K411" i="2"/>
  <c r="O410" i="2"/>
  <c r="N410" i="2"/>
  <c r="K410" i="2"/>
  <c r="O409" i="2"/>
  <c r="N409" i="2"/>
  <c r="K409" i="2"/>
  <c r="O408" i="2"/>
  <c r="N408" i="2"/>
  <c r="K408" i="2"/>
  <c r="O407" i="2"/>
  <c r="N407" i="2"/>
  <c r="K407" i="2"/>
  <c r="O406" i="2"/>
  <c r="N406" i="2"/>
  <c r="K406" i="2"/>
  <c r="O405" i="2"/>
  <c r="N405" i="2"/>
  <c r="K405" i="2"/>
  <c r="O404" i="2"/>
  <c r="N404" i="2"/>
  <c r="K404" i="2"/>
  <c r="O403" i="2"/>
  <c r="N403" i="2"/>
  <c r="K403" i="2"/>
  <c r="O402" i="2"/>
  <c r="N402" i="2"/>
  <c r="K402" i="2"/>
  <c r="O401" i="2"/>
  <c r="N401" i="2"/>
  <c r="K401" i="2"/>
  <c r="O400" i="2"/>
  <c r="N400" i="2"/>
  <c r="K400" i="2"/>
  <c r="O399" i="2"/>
  <c r="N399" i="2"/>
  <c r="K399" i="2"/>
  <c r="O398" i="2"/>
  <c r="N398" i="2"/>
  <c r="K398" i="2"/>
  <c r="O397" i="2"/>
  <c r="N397" i="2"/>
  <c r="K397" i="2"/>
  <c r="O396" i="2"/>
  <c r="N396" i="2"/>
  <c r="K396" i="2"/>
  <c r="O395" i="2"/>
  <c r="N395" i="2"/>
  <c r="K395" i="2"/>
  <c r="O394" i="2"/>
  <c r="N394" i="2"/>
  <c r="K394" i="2"/>
  <c r="O393" i="2"/>
  <c r="N393" i="2"/>
  <c r="K393" i="2"/>
  <c r="O392" i="2"/>
  <c r="N392" i="2"/>
  <c r="K392" i="2"/>
  <c r="O391" i="2"/>
  <c r="N391" i="2"/>
  <c r="K391" i="2"/>
  <c r="O390" i="2"/>
  <c r="N390" i="2"/>
  <c r="K390" i="2"/>
  <c r="O389" i="2"/>
  <c r="N389" i="2"/>
  <c r="K389" i="2"/>
  <c r="O388" i="2"/>
  <c r="N388" i="2"/>
  <c r="K388" i="2"/>
  <c r="O387" i="2"/>
  <c r="N387" i="2"/>
  <c r="K387" i="2"/>
  <c r="O386" i="2"/>
  <c r="N386" i="2"/>
  <c r="K386" i="2"/>
  <c r="O385" i="2"/>
  <c r="N385" i="2"/>
  <c r="K385" i="2"/>
  <c r="O384" i="2"/>
  <c r="N384" i="2"/>
  <c r="K384" i="2"/>
  <c r="O383" i="2"/>
  <c r="N383" i="2"/>
  <c r="K383" i="2"/>
  <c r="O382" i="2"/>
  <c r="N382" i="2"/>
  <c r="K382" i="2"/>
  <c r="O381" i="2"/>
  <c r="N381" i="2"/>
  <c r="K381" i="2"/>
  <c r="O380" i="2"/>
  <c r="N380" i="2"/>
  <c r="K380" i="2"/>
  <c r="O379" i="2"/>
  <c r="N379" i="2"/>
  <c r="K379" i="2"/>
  <c r="O378" i="2"/>
  <c r="N378" i="2"/>
  <c r="K378" i="2"/>
  <c r="O377" i="2"/>
  <c r="N377" i="2"/>
  <c r="K377" i="2"/>
  <c r="O376" i="2"/>
  <c r="N376" i="2"/>
  <c r="K376" i="2"/>
  <c r="O375" i="2"/>
  <c r="N375" i="2"/>
  <c r="K375" i="2"/>
  <c r="O374" i="2"/>
  <c r="N374" i="2"/>
  <c r="K374" i="2"/>
  <c r="O373" i="2"/>
  <c r="N373" i="2"/>
  <c r="K373" i="2"/>
  <c r="O372" i="2"/>
  <c r="N372" i="2"/>
  <c r="K372" i="2"/>
  <c r="O371" i="2"/>
  <c r="N371" i="2"/>
  <c r="K371" i="2"/>
  <c r="O370" i="2"/>
  <c r="N370" i="2"/>
  <c r="K370" i="2"/>
  <c r="O369" i="2"/>
  <c r="N369" i="2"/>
  <c r="K369" i="2"/>
  <c r="O368" i="2"/>
  <c r="N368" i="2"/>
  <c r="K368" i="2"/>
  <c r="O367" i="2"/>
  <c r="N367" i="2"/>
  <c r="K367" i="2"/>
  <c r="O366" i="2"/>
  <c r="N366" i="2"/>
  <c r="K366" i="2"/>
  <c r="O365" i="2"/>
  <c r="N365" i="2"/>
  <c r="K365" i="2"/>
  <c r="O364" i="2"/>
  <c r="N364" i="2"/>
  <c r="K364" i="2"/>
  <c r="O363" i="2"/>
  <c r="N363" i="2"/>
  <c r="K363" i="2"/>
  <c r="O362" i="2"/>
  <c r="N362" i="2"/>
  <c r="K362" i="2"/>
  <c r="O361" i="2"/>
  <c r="N361" i="2"/>
  <c r="K361" i="2"/>
  <c r="O360" i="2"/>
  <c r="N360" i="2"/>
  <c r="K360" i="2"/>
  <c r="O359" i="2"/>
  <c r="N359" i="2"/>
  <c r="K359" i="2"/>
  <c r="O358" i="2"/>
  <c r="N358" i="2"/>
  <c r="K358" i="2"/>
  <c r="O357" i="2"/>
  <c r="N357" i="2"/>
  <c r="K357" i="2"/>
  <c r="O356" i="2"/>
  <c r="N356" i="2"/>
  <c r="K356" i="2"/>
  <c r="O355" i="2"/>
  <c r="N355" i="2"/>
  <c r="K355" i="2"/>
  <c r="O354" i="2"/>
  <c r="N354" i="2"/>
  <c r="K354" i="2"/>
  <c r="O353" i="2"/>
  <c r="N353" i="2"/>
  <c r="K353" i="2"/>
  <c r="O352" i="2"/>
  <c r="N352" i="2"/>
  <c r="K352" i="2"/>
  <c r="O351" i="2"/>
  <c r="N351" i="2"/>
  <c r="K351" i="2"/>
  <c r="O350" i="2"/>
  <c r="N350" i="2"/>
  <c r="K350" i="2"/>
  <c r="O349" i="2"/>
  <c r="N349" i="2"/>
  <c r="K349" i="2"/>
  <c r="O348" i="2"/>
  <c r="N348" i="2"/>
  <c r="K348" i="2"/>
  <c r="O347" i="2"/>
  <c r="N347" i="2"/>
  <c r="K347" i="2"/>
  <c r="O346" i="2"/>
  <c r="N346" i="2"/>
  <c r="K346" i="2"/>
  <c r="O345" i="2"/>
  <c r="N345" i="2"/>
  <c r="K345" i="2"/>
  <c r="O344" i="2"/>
  <c r="N344" i="2"/>
  <c r="K344" i="2"/>
  <c r="O343" i="2"/>
  <c r="N343" i="2"/>
  <c r="K343" i="2"/>
  <c r="O342" i="2"/>
  <c r="N342" i="2"/>
  <c r="K342" i="2"/>
  <c r="O341" i="2"/>
  <c r="N341" i="2"/>
  <c r="K341" i="2"/>
  <c r="O340" i="2"/>
  <c r="N340" i="2"/>
  <c r="K340" i="2"/>
  <c r="O339" i="2"/>
  <c r="N339" i="2"/>
  <c r="K339" i="2"/>
  <c r="O338" i="2"/>
  <c r="N338" i="2"/>
  <c r="K338" i="2"/>
  <c r="O337" i="2"/>
  <c r="N337" i="2"/>
  <c r="K337" i="2"/>
  <c r="O336" i="2"/>
  <c r="N336" i="2"/>
  <c r="K336" i="2"/>
  <c r="O335" i="2"/>
  <c r="N335" i="2"/>
  <c r="K335" i="2"/>
  <c r="O334" i="2"/>
  <c r="N334" i="2"/>
  <c r="K334" i="2"/>
  <c r="O333" i="2"/>
  <c r="N333" i="2"/>
  <c r="K333" i="2"/>
  <c r="O332" i="2"/>
  <c r="N332" i="2"/>
  <c r="K332" i="2"/>
  <c r="O331" i="2"/>
  <c r="N331" i="2"/>
  <c r="K331" i="2"/>
  <c r="O330" i="2"/>
  <c r="N330" i="2"/>
  <c r="K330" i="2"/>
  <c r="O329" i="2"/>
  <c r="N329" i="2"/>
  <c r="K329" i="2"/>
  <c r="O328" i="2"/>
  <c r="N328" i="2"/>
  <c r="K328" i="2"/>
  <c r="O327" i="2"/>
  <c r="N327" i="2"/>
  <c r="K327" i="2"/>
  <c r="O326" i="2"/>
  <c r="N326" i="2"/>
  <c r="K326" i="2"/>
  <c r="O325" i="2"/>
  <c r="N325" i="2"/>
  <c r="K325" i="2"/>
  <c r="O324" i="2"/>
  <c r="N324" i="2"/>
  <c r="K324" i="2"/>
  <c r="O323" i="2"/>
  <c r="N323" i="2"/>
  <c r="K323" i="2"/>
  <c r="O322" i="2"/>
  <c r="N322" i="2"/>
  <c r="K322" i="2"/>
  <c r="O321" i="2"/>
  <c r="N321" i="2"/>
  <c r="K321" i="2"/>
  <c r="O320" i="2"/>
  <c r="N320" i="2"/>
  <c r="K320" i="2"/>
  <c r="O319" i="2"/>
  <c r="N319" i="2"/>
  <c r="K319" i="2"/>
  <c r="O318" i="2"/>
  <c r="N318" i="2"/>
  <c r="K318" i="2"/>
  <c r="O317" i="2"/>
  <c r="N317" i="2"/>
  <c r="K317" i="2"/>
  <c r="O316" i="2"/>
  <c r="N316" i="2"/>
  <c r="K316" i="2"/>
  <c r="O315" i="2"/>
  <c r="N315" i="2"/>
  <c r="K315" i="2"/>
  <c r="O314" i="2"/>
  <c r="N314" i="2"/>
  <c r="K314" i="2"/>
  <c r="O313" i="2"/>
  <c r="N313" i="2"/>
  <c r="K313" i="2"/>
  <c r="O312" i="2"/>
  <c r="N312" i="2"/>
  <c r="K312" i="2"/>
  <c r="O311" i="2"/>
  <c r="N311" i="2"/>
  <c r="K311" i="2"/>
  <c r="O310" i="2"/>
  <c r="N310" i="2"/>
  <c r="K310" i="2"/>
  <c r="O309" i="2"/>
  <c r="N309" i="2"/>
  <c r="K309" i="2"/>
  <c r="O308" i="2"/>
  <c r="N308" i="2"/>
  <c r="K308" i="2"/>
  <c r="O307" i="2"/>
  <c r="N307" i="2"/>
  <c r="K307" i="2"/>
  <c r="O306" i="2"/>
  <c r="N306" i="2"/>
  <c r="K306" i="2"/>
  <c r="O305" i="2"/>
  <c r="N305" i="2"/>
  <c r="K305" i="2"/>
  <c r="O304" i="2"/>
  <c r="N304" i="2"/>
  <c r="K304" i="2"/>
  <c r="O303" i="2"/>
  <c r="N303" i="2"/>
  <c r="K303" i="2"/>
  <c r="O302" i="2"/>
  <c r="N302" i="2"/>
  <c r="K302" i="2"/>
  <c r="O301" i="2"/>
  <c r="N301" i="2"/>
  <c r="K301" i="2"/>
  <c r="O300" i="2"/>
  <c r="N300" i="2"/>
  <c r="K300" i="2"/>
  <c r="O299" i="2"/>
  <c r="N299" i="2"/>
  <c r="K299" i="2"/>
  <c r="O298" i="2"/>
  <c r="N298" i="2"/>
  <c r="K298" i="2"/>
  <c r="O297" i="2"/>
  <c r="N297" i="2"/>
  <c r="K297" i="2"/>
  <c r="O296" i="2"/>
  <c r="N296" i="2"/>
  <c r="K296" i="2"/>
  <c r="O295" i="2"/>
  <c r="N295" i="2"/>
  <c r="K295" i="2"/>
  <c r="O294" i="2"/>
  <c r="N294" i="2"/>
  <c r="K294" i="2"/>
  <c r="O293" i="2"/>
  <c r="N293" i="2"/>
  <c r="K293" i="2"/>
  <c r="O292" i="2"/>
  <c r="N292" i="2"/>
  <c r="K292" i="2"/>
  <c r="O291" i="2"/>
  <c r="N291" i="2"/>
  <c r="K291" i="2"/>
  <c r="O290" i="2"/>
  <c r="N290" i="2"/>
  <c r="K290" i="2"/>
  <c r="O289" i="2"/>
  <c r="N289" i="2"/>
  <c r="K289" i="2"/>
  <c r="O288" i="2"/>
  <c r="N288" i="2"/>
  <c r="K288" i="2"/>
  <c r="O287" i="2"/>
  <c r="N287" i="2"/>
  <c r="K287" i="2"/>
  <c r="O286" i="2"/>
  <c r="N286" i="2"/>
  <c r="K286" i="2"/>
  <c r="O285" i="2"/>
  <c r="N285" i="2"/>
  <c r="K285" i="2"/>
  <c r="O284" i="2"/>
  <c r="N284" i="2"/>
  <c r="K284" i="2"/>
  <c r="O283" i="2"/>
  <c r="N283" i="2"/>
  <c r="K283" i="2"/>
  <c r="O282" i="2"/>
  <c r="N282" i="2"/>
  <c r="K282" i="2"/>
  <c r="O281" i="2"/>
  <c r="N281" i="2"/>
  <c r="K281" i="2"/>
  <c r="O280" i="2"/>
  <c r="N280" i="2"/>
  <c r="K280" i="2"/>
  <c r="O279" i="2"/>
  <c r="N279" i="2"/>
  <c r="K279" i="2"/>
  <c r="O278" i="2"/>
  <c r="N278" i="2"/>
  <c r="K278" i="2"/>
  <c r="O277" i="2"/>
  <c r="N277" i="2"/>
  <c r="K277" i="2"/>
  <c r="O276" i="2"/>
  <c r="N276" i="2"/>
  <c r="K276" i="2"/>
  <c r="O275" i="2"/>
  <c r="N275" i="2"/>
  <c r="K275" i="2"/>
  <c r="O274" i="2"/>
  <c r="N274" i="2"/>
  <c r="K274" i="2"/>
  <c r="O273" i="2"/>
  <c r="N273" i="2"/>
  <c r="K273" i="2"/>
  <c r="O272" i="2"/>
  <c r="N272" i="2"/>
  <c r="K272" i="2"/>
  <c r="O271" i="2"/>
  <c r="N271" i="2"/>
  <c r="K271" i="2"/>
  <c r="O270" i="2"/>
  <c r="N270" i="2"/>
  <c r="K270" i="2"/>
  <c r="O269" i="2"/>
  <c r="N269" i="2"/>
  <c r="K269" i="2"/>
  <c r="O268" i="2"/>
  <c r="N268" i="2"/>
  <c r="K268" i="2"/>
  <c r="O267" i="2"/>
  <c r="N267" i="2"/>
  <c r="K267" i="2"/>
  <c r="O266" i="2"/>
  <c r="N266" i="2"/>
  <c r="K266" i="2"/>
  <c r="O265" i="2"/>
  <c r="N265" i="2"/>
  <c r="K265" i="2"/>
  <c r="O264" i="2"/>
  <c r="N264" i="2"/>
  <c r="K264" i="2"/>
  <c r="O263" i="2"/>
  <c r="N263" i="2"/>
  <c r="K263" i="2"/>
  <c r="O262" i="2"/>
  <c r="N262" i="2"/>
  <c r="K262" i="2"/>
  <c r="O261" i="2"/>
  <c r="N261" i="2"/>
  <c r="K261" i="2"/>
  <c r="O260" i="2"/>
  <c r="N260" i="2"/>
  <c r="K260" i="2"/>
  <c r="O259" i="2"/>
  <c r="N259" i="2"/>
  <c r="K259" i="2"/>
  <c r="O258" i="2"/>
  <c r="N258" i="2"/>
  <c r="K258" i="2"/>
  <c r="O257" i="2"/>
  <c r="N257" i="2"/>
  <c r="K257" i="2"/>
  <c r="O256" i="2"/>
  <c r="N256" i="2"/>
  <c r="K256" i="2"/>
  <c r="O255" i="2"/>
  <c r="N255" i="2"/>
  <c r="K255" i="2"/>
  <c r="O254" i="2"/>
  <c r="N254" i="2"/>
  <c r="K254" i="2"/>
  <c r="O253" i="2"/>
  <c r="N253" i="2"/>
  <c r="K253" i="2"/>
  <c r="O252" i="2"/>
  <c r="N252" i="2"/>
  <c r="K252" i="2"/>
  <c r="O251" i="2"/>
  <c r="N251" i="2"/>
  <c r="K251" i="2"/>
  <c r="O250" i="2"/>
  <c r="N250" i="2"/>
  <c r="K250" i="2"/>
  <c r="O249" i="2"/>
  <c r="N249" i="2"/>
  <c r="K249" i="2"/>
  <c r="O248" i="2"/>
  <c r="N248" i="2"/>
  <c r="K248" i="2"/>
  <c r="O247" i="2"/>
  <c r="N247" i="2"/>
  <c r="K247" i="2"/>
  <c r="O246" i="2"/>
  <c r="N246" i="2"/>
  <c r="K246" i="2"/>
  <c r="O245" i="2"/>
  <c r="N245" i="2"/>
  <c r="K245" i="2"/>
  <c r="O244" i="2"/>
  <c r="N244" i="2"/>
  <c r="K244" i="2"/>
  <c r="O243" i="2"/>
  <c r="N243" i="2"/>
  <c r="K243" i="2"/>
  <c r="O242" i="2"/>
  <c r="N242" i="2"/>
  <c r="K242" i="2"/>
  <c r="O241" i="2"/>
  <c r="N241" i="2"/>
  <c r="K241" i="2"/>
  <c r="O240" i="2"/>
  <c r="N240" i="2"/>
  <c r="K240" i="2"/>
  <c r="O239" i="2"/>
  <c r="N239" i="2"/>
  <c r="K239" i="2"/>
  <c r="O238" i="2"/>
  <c r="N238" i="2"/>
  <c r="K238" i="2"/>
  <c r="O237" i="2"/>
  <c r="N237" i="2"/>
  <c r="K237" i="2"/>
  <c r="O236" i="2"/>
  <c r="N236" i="2"/>
  <c r="K236" i="2"/>
  <c r="O235" i="2"/>
  <c r="N235" i="2"/>
  <c r="K235" i="2"/>
  <c r="O234" i="2"/>
  <c r="N234" i="2"/>
  <c r="K234" i="2"/>
  <c r="O233" i="2"/>
  <c r="N233" i="2"/>
  <c r="K233" i="2"/>
  <c r="O232" i="2"/>
  <c r="N232" i="2"/>
  <c r="K232" i="2"/>
  <c r="O231" i="2"/>
  <c r="N231" i="2"/>
  <c r="K231" i="2"/>
  <c r="O230" i="2"/>
  <c r="N230" i="2"/>
  <c r="K230" i="2"/>
  <c r="O229" i="2"/>
  <c r="N229" i="2"/>
  <c r="K229" i="2"/>
  <c r="O228" i="2"/>
  <c r="N228" i="2"/>
  <c r="K228" i="2"/>
  <c r="O227" i="2"/>
  <c r="N227" i="2"/>
  <c r="K227" i="2"/>
  <c r="O226" i="2"/>
  <c r="N226" i="2"/>
  <c r="K226" i="2"/>
  <c r="O225" i="2"/>
  <c r="N225" i="2"/>
  <c r="K225" i="2"/>
  <c r="O224" i="2"/>
  <c r="N224" i="2"/>
  <c r="K224" i="2"/>
  <c r="O223" i="2"/>
  <c r="N223" i="2"/>
  <c r="K223" i="2"/>
  <c r="O222" i="2"/>
  <c r="N222" i="2"/>
  <c r="K222" i="2"/>
  <c r="O221" i="2"/>
  <c r="N221" i="2"/>
  <c r="K221" i="2"/>
  <c r="O220" i="2"/>
  <c r="N220" i="2"/>
  <c r="K220" i="2"/>
  <c r="O219" i="2"/>
  <c r="N219" i="2"/>
  <c r="K219" i="2"/>
  <c r="O218" i="2"/>
  <c r="N218" i="2"/>
  <c r="K218" i="2"/>
  <c r="O217" i="2"/>
  <c r="N217" i="2"/>
  <c r="K217" i="2"/>
  <c r="O216" i="2"/>
  <c r="N216" i="2"/>
  <c r="K216" i="2"/>
  <c r="O215" i="2"/>
  <c r="N215" i="2"/>
  <c r="K215" i="2"/>
  <c r="O214" i="2"/>
  <c r="N214" i="2"/>
  <c r="K214" i="2"/>
  <c r="O213" i="2"/>
  <c r="N213" i="2"/>
  <c r="K213" i="2"/>
  <c r="O212" i="2"/>
  <c r="N212" i="2"/>
  <c r="K212" i="2"/>
  <c r="O211" i="2"/>
  <c r="N211" i="2"/>
  <c r="K211" i="2"/>
  <c r="O210" i="2"/>
  <c r="N210" i="2"/>
  <c r="K210" i="2"/>
  <c r="O209" i="2"/>
  <c r="N209" i="2"/>
  <c r="K209" i="2"/>
  <c r="O208" i="2"/>
  <c r="N208" i="2"/>
  <c r="K208" i="2"/>
  <c r="O207" i="2"/>
  <c r="N207" i="2"/>
  <c r="K207" i="2"/>
  <c r="O206" i="2"/>
  <c r="N206" i="2"/>
  <c r="K206" i="2"/>
  <c r="O205" i="2"/>
  <c r="N205" i="2"/>
  <c r="K205" i="2"/>
  <c r="O204" i="2"/>
  <c r="N204" i="2"/>
  <c r="K204" i="2"/>
  <c r="O203" i="2"/>
  <c r="N203" i="2"/>
  <c r="K203" i="2"/>
  <c r="O202" i="2"/>
  <c r="N202" i="2"/>
  <c r="K202" i="2"/>
  <c r="O201" i="2"/>
  <c r="N201" i="2"/>
  <c r="K201" i="2"/>
  <c r="O200" i="2"/>
  <c r="N200" i="2"/>
  <c r="K200" i="2"/>
  <c r="O199" i="2"/>
  <c r="N199" i="2"/>
  <c r="K199" i="2"/>
  <c r="O198" i="2"/>
  <c r="N198" i="2"/>
  <c r="K198" i="2"/>
  <c r="O197" i="2"/>
  <c r="N197" i="2"/>
  <c r="K197" i="2"/>
  <c r="O196" i="2"/>
  <c r="N196" i="2"/>
  <c r="K196" i="2"/>
  <c r="O195" i="2"/>
  <c r="N195" i="2"/>
  <c r="K195" i="2"/>
  <c r="O194" i="2"/>
  <c r="N194" i="2"/>
  <c r="K194" i="2"/>
  <c r="O193" i="2"/>
  <c r="N193" i="2"/>
  <c r="K193" i="2"/>
  <c r="O192" i="2"/>
  <c r="N192" i="2"/>
  <c r="K192" i="2"/>
  <c r="O191" i="2"/>
  <c r="N191" i="2"/>
  <c r="K191" i="2"/>
  <c r="O190" i="2"/>
  <c r="N190" i="2"/>
  <c r="K190" i="2"/>
  <c r="O189" i="2"/>
  <c r="N189" i="2"/>
  <c r="K189" i="2"/>
  <c r="O188" i="2"/>
  <c r="N188" i="2"/>
  <c r="K188" i="2"/>
  <c r="O187" i="2"/>
  <c r="N187" i="2"/>
  <c r="K187" i="2"/>
  <c r="O186" i="2"/>
  <c r="N186" i="2"/>
  <c r="K186" i="2"/>
  <c r="O185" i="2"/>
  <c r="N185" i="2"/>
  <c r="K185" i="2"/>
  <c r="O184" i="2"/>
  <c r="N184" i="2"/>
  <c r="K184" i="2"/>
  <c r="O183" i="2"/>
  <c r="N183" i="2"/>
  <c r="K183" i="2"/>
  <c r="O182" i="2"/>
  <c r="N182" i="2"/>
  <c r="K182" i="2"/>
  <c r="O181" i="2"/>
  <c r="N181" i="2"/>
  <c r="K181" i="2"/>
  <c r="O180" i="2"/>
  <c r="N180" i="2"/>
  <c r="K180" i="2"/>
  <c r="O179" i="2"/>
  <c r="N179" i="2"/>
  <c r="K179" i="2"/>
  <c r="O178" i="2"/>
  <c r="N178" i="2"/>
  <c r="K178" i="2"/>
  <c r="O177" i="2"/>
  <c r="N177" i="2"/>
  <c r="K177" i="2"/>
  <c r="O176" i="2"/>
  <c r="N176" i="2"/>
  <c r="K176" i="2"/>
  <c r="O175" i="2"/>
  <c r="N175" i="2"/>
  <c r="K175" i="2"/>
  <c r="O174" i="2"/>
  <c r="N174" i="2"/>
  <c r="K174" i="2"/>
  <c r="O173" i="2"/>
  <c r="N173" i="2"/>
  <c r="K173" i="2"/>
  <c r="O172" i="2"/>
  <c r="N172" i="2"/>
  <c r="K172" i="2"/>
  <c r="O171" i="2"/>
  <c r="N171" i="2"/>
  <c r="K171" i="2"/>
  <c r="O170" i="2"/>
  <c r="N170" i="2"/>
  <c r="K170" i="2"/>
  <c r="O169" i="2"/>
  <c r="N169" i="2"/>
  <c r="K169" i="2"/>
  <c r="O168" i="2"/>
  <c r="N168" i="2"/>
  <c r="K168" i="2"/>
  <c r="O167" i="2"/>
  <c r="N167" i="2"/>
  <c r="K167" i="2"/>
  <c r="O166" i="2"/>
  <c r="N166" i="2"/>
  <c r="K166" i="2"/>
  <c r="O165" i="2"/>
  <c r="N165" i="2"/>
  <c r="K165" i="2"/>
  <c r="O164" i="2"/>
  <c r="N164" i="2"/>
  <c r="K164" i="2"/>
  <c r="O163" i="2"/>
  <c r="N163" i="2"/>
  <c r="K163" i="2"/>
  <c r="O162" i="2"/>
  <c r="N162" i="2"/>
  <c r="K162" i="2"/>
  <c r="O161" i="2"/>
  <c r="N161" i="2"/>
  <c r="K161" i="2"/>
  <c r="O160" i="2"/>
  <c r="N160" i="2"/>
  <c r="K160" i="2"/>
  <c r="O159" i="2"/>
  <c r="N159" i="2"/>
  <c r="K159" i="2"/>
  <c r="O158" i="2"/>
  <c r="N158" i="2"/>
  <c r="K158" i="2"/>
  <c r="O157" i="2"/>
  <c r="N157" i="2"/>
  <c r="K157" i="2"/>
  <c r="O156" i="2"/>
  <c r="N156" i="2"/>
  <c r="K156" i="2"/>
  <c r="O155" i="2"/>
  <c r="N155" i="2"/>
  <c r="K155" i="2"/>
  <c r="O154" i="2"/>
  <c r="N154" i="2"/>
  <c r="K154" i="2"/>
  <c r="O153" i="2"/>
  <c r="N153" i="2"/>
  <c r="K153" i="2"/>
  <c r="O152" i="2"/>
  <c r="N152" i="2"/>
  <c r="K152" i="2"/>
  <c r="O151" i="2"/>
  <c r="N151" i="2"/>
  <c r="K151" i="2"/>
  <c r="O150" i="2"/>
  <c r="N150" i="2"/>
  <c r="K150" i="2"/>
  <c r="O149" i="2"/>
  <c r="N149" i="2"/>
  <c r="K149" i="2"/>
  <c r="O148" i="2"/>
  <c r="N148" i="2"/>
  <c r="K148" i="2"/>
  <c r="O147" i="2"/>
  <c r="N147" i="2"/>
  <c r="K147" i="2"/>
  <c r="O146" i="2"/>
  <c r="N146" i="2"/>
  <c r="K146" i="2"/>
  <c r="O145" i="2"/>
  <c r="N145" i="2"/>
  <c r="K145" i="2"/>
  <c r="O144" i="2"/>
  <c r="N144" i="2"/>
  <c r="K144" i="2"/>
  <c r="O143" i="2"/>
  <c r="N143" i="2"/>
  <c r="K143" i="2"/>
  <c r="O142" i="2"/>
  <c r="N142" i="2"/>
  <c r="K142" i="2"/>
  <c r="O141" i="2"/>
  <c r="N141" i="2"/>
  <c r="K141" i="2"/>
  <c r="O140" i="2"/>
  <c r="N140" i="2"/>
  <c r="K140" i="2"/>
  <c r="O139" i="2"/>
  <c r="N139" i="2"/>
  <c r="K139" i="2"/>
  <c r="O138" i="2"/>
  <c r="N138" i="2"/>
  <c r="K138" i="2"/>
  <c r="O137" i="2"/>
  <c r="N137" i="2"/>
  <c r="K137" i="2"/>
  <c r="O136" i="2"/>
  <c r="N136" i="2"/>
  <c r="K136" i="2"/>
  <c r="O135" i="2"/>
  <c r="N135" i="2"/>
  <c r="K135" i="2"/>
  <c r="O134" i="2"/>
  <c r="N134" i="2"/>
  <c r="K134" i="2"/>
  <c r="O133" i="2"/>
  <c r="N133" i="2"/>
  <c r="K133" i="2"/>
  <c r="O132" i="2"/>
  <c r="N132" i="2"/>
  <c r="K132" i="2"/>
  <c r="O131" i="2"/>
  <c r="N131" i="2"/>
  <c r="K131" i="2"/>
  <c r="O130" i="2"/>
  <c r="N130" i="2"/>
  <c r="K130" i="2"/>
  <c r="O129" i="2"/>
  <c r="N129" i="2"/>
  <c r="K129" i="2"/>
  <c r="O128" i="2"/>
  <c r="N128" i="2"/>
  <c r="K128" i="2"/>
  <c r="O127" i="2"/>
  <c r="N127" i="2"/>
  <c r="K127" i="2"/>
  <c r="O126" i="2"/>
  <c r="N126" i="2"/>
  <c r="K126" i="2"/>
  <c r="O125" i="2"/>
  <c r="N125" i="2"/>
  <c r="K125" i="2"/>
  <c r="O124" i="2"/>
  <c r="N124" i="2"/>
  <c r="K124" i="2"/>
  <c r="O123" i="2"/>
  <c r="N123" i="2"/>
  <c r="K123" i="2"/>
  <c r="O122" i="2"/>
  <c r="N122" i="2"/>
  <c r="K122" i="2"/>
  <c r="O121" i="2"/>
  <c r="N121" i="2"/>
  <c r="K121" i="2"/>
  <c r="O120" i="2"/>
  <c r="N120" i="2"/>
  <c r="K120" i="2"/>
  <c r="O119" i="2"/>
  <c r="N119" i="2"/>
  <c r="K119" i="2"/>
  <c r="O118" i="2"/>
  <c r="N118" i="2"/>
  <c r="K118" i="2"/>
  <c r="O117" i="2"/>
  <c r="N117" i="2"/>
  <c r="K117" i="2"/>
  <c r="O116" i="2"/>
  <c r="N116" i="2"/>
  <c r="K116" i="2"/>
  <c r="O115" i="2"/>
  <c r="N115" i="2"/>
  <c r="K115" i="2"/>
  <c r="O114" i="2"/>
  <c r="N114" i="2"/>
  <c r="K114" i="2"/>
  <c r="O113" i="2"/>
  <c r="N113" i="2"/>
  <c r="K113" i="2"/>
  <c r="O112" i="2"/>
  <c r="N112" i="2"/>
  <c r="K112" i="2"/>
  <c r="O111" i="2"/>
  <c r="N111" i="2"/>
  <c r="K111" i="2"/>
  <c r="O110" i="2"/>
  <c r="N110" i="2"/>
  <c r="K110" i="2"/>
  <c r="O109" i="2"/>
  <c r="N109" i="2"/>
  <c r="K109" i="2"/>
  <c r="O108" i="2"/>
  <c r="N108" i="2"/>
  <c r="K108" i="2"/>
  <c r="O107" i="2"/>
  <c r="N107" i="2"/>
  <c r="K107" i="2"/>
  <c r="O106" i="2"/>
  <c r="N106" i="2"/>
  <c r="K106" i="2"/>
  <c r="O105" i="2"/>
  <c r="N105" i="2"/>
  <c r="K105" i="2"/>
  <c r="O104" i="2"/>
  <c r="N104" i="2"/>
  <c r="K104" i="2"/>
  <c r="O103" i="2"/>
  <c r="N103" i="2"/>
  <c r="K103" i="2"/>
  <c r="O102" i="2"/>
  <c r="N102" i="2"/>
  <c r="K102" i="2"/>
  <c r="O101" i="2"/>
  <c r="N101" i="2"/>
  <c r="K101" i="2"/>
  <c r="O100" i="2"/>
  <c r="N100" i="2"/>
  <c r="K100" i="2"/>
  <c r="O99" i="2"/>
  <c r="N99" i="2"/>
  <c r="K99" i="2"/>
  <c r="O98" i="2"/>
  <c r="N98" i="2"/>
  <c r="K98" i="2"/>
  <c r="O97" i="2"/>
  <c r="N97" i="2"/>
  <c r="K97" i="2"/>
  <c r="O96" i="2"/>
  <c r="N96" i="2"/>
  <c r="K96" i="2"/>
  <c r="O95" i="2"/>
  <c r="N95" i="2"/>
  <c r="K95" i="2"/>
  <c r="O94" i="2"/>
  <c r="N94" i="2"/>
  <c r="K94" i="2"/>
  <c r="O93" i="2"/>
  <c r="N93" i="2"/>
  <c r="K93" i="2"/>
  <c r="O92" i="2"/>
  <c r="N92" i="2"/>
  <c r="K92" i="2"/>
  <c r="O91" i="2"/>
  <c r="N91" i="2"/>
  <c r="K91" i="2"/>
  <c r="O90" i="2"/>
  <c r="N90" i="2"/>
  <c r="K90" i="2"/>
  <c r="O89" i="2"/>
  <c r="N89" i="2"/>
  <c r="K89" i="2"/>
  <c r="O88" i="2"/>
  <c r="N88" i="2"/>
  <c r="K88" i="2"/>
  <c r="O87" i="2"/>
  <c r="N87" i="2"/>
  <c r="K87" i="2"/>
  <c r="O86" i="2"/>
  <c r="N86" i="2"/>
  <c r="K86" i="2"/>
  <c r="O85" i="2"/>
  <c r="N85" i="2"/>
  <c r="K85" i="2"/>
  <c r="O84" i="2"/>
  <c r="N84" i="2"/>
  <c r="K84" i="2"/>
  <c r="O83" i="2"/>
  <c r="N83" i="2"/>
  <c r="K83" i="2"/>
  <c r="O82" i="2"/>
  <c r="N82" i="2"/>
  <c r="K82" i="2"/>
  <c r="O81" i="2"/>
  <c r="N81" i="2"/>
  <c r="K81" i="2"/>
  <c r="O80" i="2"/>
  <c r="N80" i="2"/>
  <c r="K80" i="2"/>
  <c r="O79" i="2"/>
  <c r="N79" i="2"/>
  <c r="K79" i="2"/>
  <c r="O78" i="2"/>
  <c r="N78" i="2"/>
  <c r="K78" i="2"/>
  <c r="O77" i="2"/>
  <c r="N77" i="2"/>
  <c r="K77" i="2"/>
  <c r="O76" i="2"/>
  <c r="N76" i="2"/>
  <c r="K76" i="2"/>
  <c r="O75" i="2"/>
  <c r="N75" i="2"/>
  <c r="K75" i="2"/>
  <c r="O74" i="2"/>
  <c r="N74" i="2"/>
  <c r="K74" i="2"/>
  <c r="O73" i="2"/>
  <c r="N73" i="2"/>
  <c r="K73" i="2"/>
  <c r="O72" i="2"/>
  <c r="N72" i="2"/>
  <c r="K72" i="2"/>
  <c r="O71" i="2"/>
  <c r="N71" i="2"/>
  <c r="K71" i="2"/>
  <c r="O70" i="2"/>
  <c r="N70" i="2"/>
  <c r="K70" i="2"/>
  <c r="O69" i="2"/>
  <c r="N69" i="2"/>
  <c r="K69" i="2"/>
  <c r="O68" i="2"/>
  <c r="N68" i="2"/>
  <c r="K68" i="2"/>
  <c r="O67" i="2"/>
  <c r="N67" i="2"/>
  <c r="K67" i="2"/>
  <c r="O66" i="2"/>
  <c r="N66" i="2"/>
  <c r="K66" i="2"/>
  <c r="O65" i="2"/>
  <c r="N65" i="2"/>
  <c r="K65" i="2"/>
  <c r="O64" i="2"/>
  <c r="N64" i="2"/>
  <c r="K64" i="2"/>
  <c r="O63" i="2"/>
  <c r="N63" i="2"/>
  <c r="K63" i="2"/>
  <c r="O62" i="2"/>
  <c r="N62" i="2"/>
  <c r="K62" i="2"/>
  <c r="O61" i="2"/>
  <c r="N61" i="2"/>
  <c r="K61" i="2"/>
  <c r="O60" i="2"/>
  <c r="N60" i="2"/>
  <c r="K60" i="2"/>
  <c r="O59" i="2"/>
  <c r="N59" i="2"/>
  <c r="K59" i="2"/>
  <c r="O58" i="2"/>
  <c r="N58" i="2"/>
  <c r="K58" i="2"/>
  <c r="O57" i="2"/>
  <c r="N57" i="2"/>
  <c r="K57" i="2"/>
  <c r="O56" i="2"/>
  <c r="N56" i="2"/>
  <c r="K56" i="2"/>
  <c r="O55" i="2"/>
  <c r="N55" i="2"/>
  <c r="K55" i="2"/>
  <c r="O54" i="2"/>
  <c r="N54" i="2"/>
  <c r="K54" i="2"/>
  <c r="O53" i="2"/>
  <c r="N53" i="2"/>
  <c r="K53" i="2"/>
  <c r="O52" i="2"/>
  <c r="N52" i="2"/>
  <c r="K52" i="2"/>
  <c r="O51" i="2"/>
  <c r="N51" i="2"/>
  <c r="K51" i="2"/>
  <c r="O50" i="2"/>
  <c r="N50" i="2"/>
  <c r="K50" i="2"/>
  <c r="O49" i="2"/>
  <c r="N49" i="2"/>
  <c r="K49" i="2"/>
  <c r="O48" i="2"/>
  <c r="N48" i="2"/>
  <c r="K48" i="2"/>
  <c r="O47" i="2"/>
  <c r="N47" i="2"/>
  <c r="K47" i="2"/>
  <c r="O46" i="2"/>
  <c r="N46" i="2"/>
  <c r="K46" i="2"/>
  <c r="O45" i="2"/>
  <c r="N45" i="2"/>
  <c r="K45" i="2"/>
  <c r="O44" i="2"/>
  <c r="N44" i="2"/>
  <c r="K44" i="2"/>
  <c r="O43" i="2"/>
  <c r="N43" i="2"/>
  <c r="K43" i="2"/>
  <c r="O42" i="2"/>
  <c r="N42" i="2"/>
  <c r="K42" i="2"/>
  <c r="O41" i="2"/>
  <c r="N41" i="2"/>
  <c r="K41" i="2"/>
  <c r="O40" i="2"/>
  <c r="N40" i="2"/>
  <c r="K40" i="2"/>
  <c r="O39" i="2"/>
  <c r="N39" i="2"/>
  <c r="K39" i="2"/>
  <c r="O38" i="2"/>
  <c r="N38" i="2"/>
  <c r="K38" i="2"/>
  <c r="O37" i="2"/>
  <c r="N37" i="2"/>
  <c r="K37" i="2"/>
  <c r="O36" i="2"/>
  <c r="N36" i="2"/>
  <c r="K36" i="2"/>
  <c r="O35" i="2"/>
  <c r="N35" i="2"/>
  <c r="K35" i="2"/>
  <c r="O34" i="2"/>
  <c r="N34" i="2"/>
  <c r="K34" i="2"/>
  <c r="O33" i="2"/>
  <c r="N33" i="2"/>
  <c r="K33" i="2"/>
  <c r="O32" i="2"/>
  <c r="N32" i="2"/>
  <c r="K32" i="2"/>
  <c r="O31" i="2"/>
  <c r="N31" i="2"/>
  <c r="K31" i="2"/>
  <c r="O30" i="2"/>
  <c r="N30" i="2"/>
  <c r="K30" i="2"/>
  <c r="O29" i="2"/>
  <c r="N29" i="2"/>
  <c r="K29" i="2"/>
  <c r="O28" i="2"/>
  <c r="N28" i="2"/>
  <c r="K28" i="2"/>
  <c r="O27" i="2"/>
  <c r="N27" i="2"/>
  <c r="K27" i="2"/>
  <c r="O26" i="2"/>
  <c r="N26" i="2"/>
  <c r="K26" i="2"/>
  <c r="O25" i="2"/>
  <c r="N25" i="2"/>
  <c r="K25" i="2"/>
  <c r="O24" i="2"/>
  <c r="N24" i="2"/>
  <c r="K24" i="2"/>
  <c r="O23" i="2"/>
  <c r="N23" i="2"/>
  <c r="K23" i="2"/>
  <c r="O22" i="2"/>
  <c r="N22" i="2"/>
  <c r="K22" i="2"/>
  <c r="O21" i="2"/>
  <c r="N21" i="2"/>
  <c r="K21" i="2"/>
  <c r="O20" i="2"/>
  <c r="N20" i="2"/>
  <c r="K20" i="2"/>
  <c r="O19" i="2"/>
  <c r="N19" i="2"/>
  <c r="K19" i="2"/>
  <c r="O18" i="2"/>
  <c r="N18" i="2"/>
  <c r="K18" i="2"/>
  <c r="O17" i="2"/>
  <c r="N17" i="2"/>
  <c r="K17" i="2"/>
  <c r="O16" i="2"/>
  <c r="N16" i="2"/>
  <c r="K16" i="2"/>
  <c r="O15" i="2"/>
  <c r="N15" i="2"/>
  <c r="K15" i="2"/>
  <c r="O14" i="2"/>
  <c r="N14" i="2"/>
  <c r="K14" i="2"/>
  <c r="O13" i="2"/>
  <c r="N13" i="2"/>
  <c r="K13" i="2"/>
  <c r="O12" i="2"/>
  <c r="N12" i="2"/>
  <c r="K12" i="2"/>
  <c r="O11" i="2"/>
  <c r="N11" i="2"/>
  <c r="K11" i="2"/>
  <c r="O10" i="2"/>
  <c r="N10" i="2"/>
  <c r="K10" i="2"/>
  <c r="O9" i="2"/>
  <c r="N9" i="2"/>
  <c r="K9" i="2"/>
  <c r="O8" i="2"/>
  <c r="N8" i="2"/>
  <c r="K8" i="2"/>
  <c r="O7" i="2"/>
  <c r="N7" i="2"/>
  <c r="K7" i="2"/>
  <c r="O6" i="2"/>
  <c r="N6" i="2"/>
  <c r="K6" i="2"/>
  <c r="O5" i="2"/>
  <c r="N5" i="2"/>
  <c r="K5" i="2"/>
  <c r="O4" i="2"/>
  <c r="N4" i="2"/>
  <c r="K4" i="2"/>
  <c r="O3" i="2"/>
  <c r="N3" i="2"/>
  <c r="K3" i="2"/>
  <c r="O2" i="2"/>
  <c r="N2" i="2"/>
  <c r="K2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EE758-B570-4E9B-8A3A-FC5F227997F7}" keepAlive="1" name="Query - List of Orders PBI" description="Connection to the 'List of Orders PBI' query in the workbook." type="5" refreshedVersion="8" background="1" saveData="1">
    <dbPr connection="Provider=Microsoft.Mashup.OleDb.1;Data Source=$Workbook$;Location=&quot;List of Orders PBI&quot;;Extended Properties=&quot;&quot;" command="SELECT * FROM [List of Orders PBI]"/>
  </connection>
  <connection id="2" xr16:uid="{14F68A36-3531-41B0-83D6-E51103545257}" keepAlive="1" name="Query - Order Details PBI" description="Connection to the 'Order Details PBI' query in the workbook." type="5" refreshedVersion="8" background="1" saveData="1">
    <dbPr connection="Provider=Microsoft.Mashup.OleDb.1;Data Source=$Workbook$;Location=&quot;Order Details PBI&quot;;Extended Properties=&quot;&quot;" command="SELECT * FROM [Order Details PBI]"/>
  </connection>
  <connection id="3" xr16:uid="{3017AC26-10D3-4C37-9057-618EE65CACFB}" keepAlive="1" name="Query - Sales target PBI" description="Connection to the 'Sales target PBI' query in the workbook." type="5" refreshedVersion="8" background="1" saveData="1">
    <dbPr connection="Provider=Microsoft.Mashup.OleDb.1;Data Source=$Workbook$;Location=&quot;Sales target PBI&quot;;Extended Properties=&quot;&quot;" command="SELECT * FROM [Sales target PBI]"/>
  </connection>
</connections>
</file>

<file path=xl/sharedStrings.xml><?xml version="1.0" encoding="utf-8"?>
<sst xmlns="http://schemas.openxmlformats.org/spreadsheetml/2006/main" count="3053" uniqueCount="909">
  <si>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</si>
  <si>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</si>
  <si>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</si>
  <si>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</si>
  <si>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</si>
  <si>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</si>
  <si>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</si>
  <si>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</si>
  <si>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</si>
  <si>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</si>
  <si>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</si>
  <si>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</si>
  <si>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</si>
  <si>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</si>
  <si>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</si>
  <si>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</si>
  <si>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</si>
  <si>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</si>
  <si>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</si>
  <si>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</si>
  <si>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</si>
  <si>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</si>
  <si>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</si>
  <si>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</si>
  <si>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</si>
  <si>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</si>
  <si>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</si>
  <si>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</si>
  <si>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</si>
  <si>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</si>
  <si>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</si>
  <si>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</si>
  <si>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</si>
  <si>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</si>
  <si>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</si>
  <si>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</si>
  <si>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</si>
  <si>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</si>
  <si>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</si>
  <si>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</si>
  <si>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</si>
  <si>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</si>
  <si>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</si>
  <si>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</si>
  <si>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</si>
  <si>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</si>
  <si>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</si>
  <si>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</si>
  <si>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</si>
  <si>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</si>
  <si>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</si>
  <si>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</si>
  <si>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</si>
  <si>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</si>
  <si>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</si>
  <si>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</si>
  <si>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</si>
  <si>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</si>
  <si>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</si>
  <si>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</si>
  <si>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</si>
  <si>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</si>
  <si>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</si>
  <si>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</si>
  <si>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</si>
  <si>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</si>
  <si>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</si>
  <si>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</si>
  <si>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</si>
  <si>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</si>
  <si>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</si>
  <si>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</si>
  <si>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</si>
  <si>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</si>
  <si>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</si>
  <si>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</si>
  <si>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</si>
  <si>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</si>
  <si>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</si>
  <si>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</si>
  <si>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</si>
  <si>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</si>
  <si>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</si>
  <si>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</si>
  <si>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</si>
  <si>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</si>
  <si>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</si>
  <si>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</si>
  <si>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</si>
  <si>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</si>
  <si>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</si>
  <si>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</si>
  <si>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</si>
  <si>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</si>
  <si>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</si>
  <si>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</si>
  <si>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</si>
  <si>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</si>
  <si>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</si>
  <si>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</si>
  <si>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</si>
  <si>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</si>
  <si>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</si>
  <si>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</si>
  <si>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</si>
  <si>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</si>
  <si>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</si>
  <si>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</si>
  <si>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</si>
  <si>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</si>
  <si>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</si>
  <si>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</si>
  <si>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</si>
  <si>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</si>
  <si>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</si>
  <si>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</si>
  <si>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</si>
  <si>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</si>
  <si>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</si>
  <si>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</si>
  <si>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</si>
  <si>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</si>
  <si>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</si>
  <si>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</si>
  <si>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</si>
  <si>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</si>
  <si>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</si>
  <si>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</si>
  <si>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</si>
  <si>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</si>
  <si>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</si>
  <si>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</si>
  <si>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</si>
  <si>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</si>
  <si>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</si>
  <si>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</si>
  <si>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</si>
  <si>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</si>
  <si>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</si>
  <si>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</si>
  <si>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</si>
  <si>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</si>
  <si>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</si>
  <si>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</si>
  <si>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</si>
  <si>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</si>
  <si>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</si>
  <si>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</si>
  <si>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</si>
  <si>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</si>
  <si>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</si>
  <si>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</si>
  <si>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</si>
  <si>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</si>
  <si>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</si>
  <si>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</si>
  <si>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</si>
  <si>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</si>
  <si>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</si>
  <si>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</si>
  <si>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</si>
  <si>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</si>
  <si>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</si>
  <si>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</si>
  <si>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</si>
  <si>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</si>
  <si>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</si>
  <si>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</si>
  <si>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</si>
  <si>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</si>
  <si>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</si>
  <si>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</si>
  <si>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</si>
  <si>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</si>
  <si>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</si>
  <si>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</si>
  <si>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</si>
  <si>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</si>
  <si>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</si>
  <si>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</si>
  <si>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</si>
  <si>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</si>
  <si>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</si>
  <si>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</si>
  <si>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</si>
  <si>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</si>
  <si>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</si>
  <si>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</si>
  <si>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</si>
  <si>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</si>
  <si>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</si>
  <si>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</si>
  <si>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</si>
  <si>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</si>
  <si>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</si>
  <si>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</si>
  <si>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</si>
  <si>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</si>
  <si>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</si>
  <si>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</si>
  <si>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</si>
  <si>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</si>
  <si>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</si>
  <si>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</si>
  <si>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</si>
  <si>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</si>
  <si>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</si>
  <si>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</si>
  <si>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</si>
  <si>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</si>
  <si>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</si>
  <si>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</si>
  <si>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</si>
  <si>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</si>
  <si>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</si>
  <si>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</si>
  <si>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</si>
  <si>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</si>
  <si>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</si>
  <si>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</si>
  <si>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</si>
  <si>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</si>
  <si>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</si>
  <si>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</si>
  <si>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</si>
  <si>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</si>
  <si>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</si>
  <si>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</si>
  <si>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</si>
  <si>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</si>
  <si>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</si>
  <si>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</si>
  <si>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</si>
  <si>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</si>
  <si>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</si>
  <si>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</si>
  <si>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</si>
  <si>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</si>
  <si>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</si>
  <si>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</si>
  <si>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</si>
  <si>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</si>
  <si>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</si>
  <si>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</si>
  <si>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</si>
  <si>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</si>
  <si>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</si>
  <si>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</si>
  <si>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</si>
  <si>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</si>
  <si>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</si>
  <si>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</si>
  <si>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</si>
  <si>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</si>
  <si>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</si>
  <si>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</si>
  <si>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</si>
  <si>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</si>
  <si>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</si>
  <si>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</si>
  <si>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</si>
  <si>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</si>
  <si>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</si>
  <si>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</si>
  <si>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</si>
  <si>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</si>
  <si>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</si>
  <si>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</si>
  <si>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</si>
  <si>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</si>
  <si>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</si>
  <si>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</si>
  <si>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</si>
  <si>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</si>
  <si>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</si>
  <si>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</si>
  <si>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</si>
  <si>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</si>
  <si>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</si>
  <si>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</si>
  <si>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</si>
  <si>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</si>
  <si>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</si>
  <si>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</si>
  <si>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</si>
  <si>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</si>
  <si>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</si>
  <si>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</si>
  <si>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</si>
  <si>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</si>
  <si>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</si>
  <si>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</si>
  <si>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</si>
  <si>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</si>
  <si>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</si>
  <si>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</si>
  <si>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</si>
  <si>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</si>
  <si>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</si>
  <si>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</si>
  <si>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</si>
  <si>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</si>
  <si>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</si>
  <si>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</si>
  <si>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</si>
  <si>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</si>
  <si>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</si>
  <si>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</si>
  <si>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</si>
  <si>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</si>
  <si>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</si>
  <si>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</si>
  <si>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</si>
  <si>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</si>
  <si>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</si>
  <si>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</si>
  <si>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</si>
  <si>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</si>
  <si>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</si>
  <si>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</si>
  <si>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</si>
  <si>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</si>
  <si>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</si>
  <si>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</si>
  <si>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</si>
  <si>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</si>
  <si>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</si>
  <si>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</si>
  <si>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</si>
  <si>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</si>
  <si>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</si>
  <si>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</si>
  <si>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</si>
  <si>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</si>
  <si>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</si>
  <si>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</si>
  <si>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</si>
  <si>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</si>
  <si>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</si>
  <si>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</si>
  <si>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</si>
  <si>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</si>
  <si>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</si>
  <si>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</si>
  <si>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</si>
  <si>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</si>
  <si>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</si>
  <si>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</si>
  <si>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</si>
  <si>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</si>
  <si>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</si>
  <si>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</si>
  <si>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</si>
  <si>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</si>
  <si>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</si>
  <si>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</si>
  <si>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</si>
  <si>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</si>
  <si>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</si>
  <si>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</si>
  <si>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</si>
  <si>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</si>
  <si>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</si>
  <si>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</si>
  <si>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</si>
  <si>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</si>
  <si>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</si>
  <si>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</si>
  <si>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</si>
  <si>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</si>
  <si>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</si>
  <si>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</si>
  <si>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</si>
  <si>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</si>
  <si>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</si>
  <si>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</si>
  <si>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</si>
  <si>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</si>
  <si>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</si>
  <si>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</si>
  <si>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</si>
  <si>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</si>
  <si>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</si>
  <si>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</si>
  <si>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</si>
  <si>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</si>
  <si>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</si>
  <si>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</si>
  <si>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</si>
  <si>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</si>
  <si>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</si>
  <si>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</si>
  <si>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</si>
  <si>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</si>
  <si>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</si>
  <si>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</si>
  <si>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</si>
  <si>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</si>
  <si>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</si>
  <si>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</si>
  <si>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</si>
  <si>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</si>
  <si>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</si>
  <si>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</si>
  <si>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</si>
  <si>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</si>
  <si>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</si>
  <si>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</si>
  <si>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</si>
  <si>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</si>
  <si>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</si>
  <si>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</si>
  <si>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</si>
  <si>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</si>
  <si>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</si>
  <si>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</si>
  <si>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</si>
  <si>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</si>
  <si>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</si>
  <si>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</si>
  <si>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</si>
  <si>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</si>
  <si>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</si>
  <si>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</si>
  <si>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</si>
  <si>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</si>
  <si>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</si>
  <si>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</si>
  <si>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</si>
  <si>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</si>
  <si>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</si>
  <si>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</si>
  <si>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</si>
  <si>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</si>
  <si>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</si>
  <si>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</si>
  <si>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</si>
  <si>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</si>
  <si>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</si>
  <si>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</si>
  <si>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</si>
  <si>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</si>
  <si>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</si>
  <si>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</si>
  <si>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</si>
  <si>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</si>
  <si>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</si>
  <si>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</si>
  <si>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</si>
  <si>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</si>
  <si>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</si>
  <si>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</si>
  <si>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</si>
  <si>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</si>
  <si>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</si>
  <si>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</si>
  <si>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</si>
  <si>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</si>
  <si>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</si>
  <si>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</si>
  <si>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</si>
  <si>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</si>
  <si>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</si>
  <si>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</si>
  <si>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</si>
  <si>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</si>
  <si>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</si>
  <si>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</si>
  <si>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</si>
  <si>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</si>
  <si>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</si>
  <si>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</si>
  <si>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</si>
  <si>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</si>
  <si>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</si>
  <si>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</si>
  <si>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</si>
  <si>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</si>
  <si>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</si>
  <si>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</si>
  <si>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</si>
  <si>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</si>
  <si>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</si>
  <si>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</si>
  <si>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</si>
  <si>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</si>
  <si>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</si>
  <si>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</si>
  <si>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</si>
  <si>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</si>
  <si>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</si>
  <si>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</si>
  <si>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</si>
  <si>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</si>
  <si>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</si>
  <si>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</si>
  <si>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</si>
  <si>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</si>
  <si>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</si>
  <si>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</si>
  <si>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</si>
  <si>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</si>
  <si>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</si>
  <si>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</si>
  <si>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</si>
  <si>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</si>
  <si>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</si>
  <si>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</si>
  <si>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</si>
  <si>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</si>
  <si>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</si>
  <si>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</si>
  <si>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</si>
  <si>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</si>
  <si>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</si>
  <si>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</si>
  <si>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</si>
  <si>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</si>
  <si>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</si>
  <si>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</si>
  <si>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</si>
  <si>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</si>
  <si>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</si>
  <si>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</si>
  <si>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</si>
  <si>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</si>
  <si>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Profit Margine</t>
  </si>
  <si>
    <t>Profit Status</t>
  </si>
  <si>
    <t>Order Date</t>
  </si>
  <si>
    <t>CustomerName</t>
  </si>
  <si>
    <t>Customer Name</t>
  </si>
  <si>
    <t>State</t>
  </si>
  <si>
    <t>City</t>
  </si>
  <si>
    <t>Date</t>
  </si>
  <si>
    <t>Location</t>
  </si>
  <si>
    <t>Bharat</t>
  </si>
  <si>
    <t>Gujarat</t>
  </si>
  <si>
    <t>Ahmedabad</t>
  </si>
  <si>
    <t>Pearl</t>
  </si>
  <si>
    <t>Maharashtra</t>
  </si>
  <si>
    <t>Pune</t>
  </si>
  <si>
    <t>Jahan</t>
  </si>
  <si>
    <t>Madhya Pradesh</t>
  </si>
  <si>
    <t>Bhopal</t>
  </si>
  <si>
    <t>Divsha</t>
  </si>
  <si>
    <t>Rajasthan</t>
  </si>
  <si>
    <t>Jaipur</t>
  </si>
  <si>
    <t>Kasheen</t>
  </si>
  <si>
    <t>West Bengal</t>
  </si>
  <si>
    <t>Kolkata</t>
  </si>
  <si>
    <t>Hazel</t>
  </si>
  <si>
    <t>Karnataka</t>
  </si>
  <si>
    <t>Bangalore</t>
  </si>
  <si>
    <t>Sonakshi</t>
  </si>
  <si>
    <t>Jammu and Kashmir</t>
  </si>
  <si>
    <t>Kashmir</t>
  </si>
  <si>
    <t>Aarushi</t>
  </si>
  <si>
    <t>Tamil Nadu</t>
  </si>
  <si>
    <t>Chennai</t>
  </si>
  <si>
    <t>Jitesh</t>
  </si>
  <si>
    <t>Uttar Pradesh</t>
  </si>
  <si>
    <t>Lucknow</t>
  </si>
  <si>
    <t>Yogesh</t>
  </si>
  <si>
    <t>Bihar</t>
  </si>
  <si>
    <t>Patna</t>
  </si>
  <si>
    <t>Anita</t>
  </si>
  <si>
    <t xml:space="preserve">Kerala </t>
  </si>
  <si>
    <t>Thiruvananthapuram</t>
  </si>
  <si>
    <t>Shrichand</t>
  </si>
  <si>
    <t>Punjab</t>
  </si>
  <si>
    <t>Chandigarh</t>
  </si>
  <si>
    <t>Mukesh</t>
  </si>
  <si>
    <t>Haryana</t>
  </si>
  <si>
    <t>Vandana</t>
  </si>
  <si>
    <t>Himachal Pradesh</t>
  </si>
  <si>
    <t>Simla</t>
  </si>
  <si>
    <t>Bhavna</t>
  </si>
  <si>
    <t>Sikkim</t>
  </si>
  <si>
    <t>Gangtok</t>
  </si>
  <si>
    <t>Kanak</t>
  </si>
  <si>
    <t>Goa</t>
  </si>
  <si>
    <t>Sagar</t>
  </si>
  <si>
    <t>Nagaland</t>
  </si>
  <si>
    <t>Kohima</t>
  </si>
  <si>
    <t>Manju</t>
  </si>
  <si>
    <t>Andhra Pradesh</t>
  </si>
  <si>
    <t>Hyderabad</t>
  </si>
  <si>
    <t>Ramesh</t>
  </si>
  <si>
    <t>Sarita</t>
  </si>
  <si>
    <t>Deepak</t>
  </si>
  <si>
    <t>Monisha</t>
  </si>
  <si>
    <t>Atharv</t>
  </si>
  <si>
    <t>Vini</t>
  </si>
  <si>
    <t>Pinky</t>
  </si>
  <si>
    <t>Bhishm</t>
  </si>
  <si>
    <t>Mumbai</t>
  </si>
  <si>
    <t>Hitika</t>
  </si>
  <si>
    <t>Indore</t>
  </si>
  <si>
    <t>Pooja</t>
  </si>
  <si>
    <t>Hemant</t>
  </si>
  <si>
    <t>Sahil</t>
  </si>
  <si>
    <t>Ritu</t>
  </si>
  <si>
    <t>Manish</t>
  </si>
  <si>
    <t>Amit</t>
  </si>
  <si>
    <t>Sanjay</t>
  </si>
  <si>
    <t>Nidhi</t>
  </si>
  <si>
    <t>Nishi</t>
  </si>
  <si>
    <t>Ashmi</t>
  </si>
  <si>
    <t>Parth</t>
  </si>
  <si>
    <t>Lisha</t>
  </si>
  <si>
    <t>Paridhi</t>
  </si>
  <si>
    <t>Parishi</t>
  </si>
  <si>
    <t>Ajay</t>
  </si>
  <si>
    <t>Kirti</t>
  </si>
  <si>
    <t>Mayank</t>
  </si>
  <si>
    <t>Yaanvi</t>
  </si>
  <si>
    <t>Sonal</t>
  </si>
  <si>
    <t>Sharda</t>
  </si>
  <si>
    <t>Aditya</t>
  </si>
  <si>
    <t>Rachna</t>
  </si>
  <si>
    <t>Chirag</t>
  </si>
  <si>
    <t>Anurag</t>
  </si>
  <si>
    <t>Tushina</t>
  </si>
  <si>
    <t>Farah</t>
  </si>
  <si>
    <t>Sabah</t>
  </si>
  <si>
    <t>Nida</t>
  </si>
  <si>
    <t>Priyanka</t>
  </si>
  <si>
    <t>Tulika</t>
  </si>
  <si>
    <t>Shefali</t>
  </si>
  <si>
    <t>Sanskriti</t>
  </si>
  <si>
    <t>Shruti</t>
  </si>
  <si>
    <t>Subhashree</t>
  </si>
  <si>
    <t>Sweta</t>
  </si>
  <si>
    <t>Pournamasi</t>
  </si>
  <si>
    <t>Pratyusmita</t>
  </si>
  <si>
    <t>Chayanika</t>
  </si>
  <si>
    <t>Tanvi</t>
  </si>
  <si>
    <t>Anjali</t>
  </si>
  <si>
    <t>Rhea</t>
  </si>
  <si>
    <t>Piyali</t>
  </si>
  <si>
    <t>Charika</t>
  </si>
  <si>
    <t>Mitali</t>
  </si>
  <si>
    <t>Akanksha</t>
  </si>
  <si>
    <t>Arsheen</t>
  </si>
  <si>
    <t>Mahima</t>
  </si>
  <si>
    <t>Shreya</t>
  </si>
  <si>
    <t>Chandni</t>
  </si>
  <si>
    <t>Ekta</t>
  </si>
  <si>
    <t>Bathina</t>
  </si>
  <si>
    <t>Avni</t>
  </si>
  <si>
    <t>Aayushi</t>
  </si>
  <si>
    <t>Bhawna</t>
  </si>
  <si>
    <t>Krutika</t>
  </si>
  <si>
    <t>Samiksha</t>
  </si>
  <si>
    <t>Sheetal</t>
  </si>
  <si>
    <t>Sanjna</t>
  </si>
  <si>
    <t>Swetha</t>
  </si>
  <si>
    <t>Bhaggyasree</t>
  </si>
  <si>
    <t>Gunjan</t>
  </si>
  <si>
    <t>Akancha</t>
  </si>
  <si>
    <t>Rashmi</t>
  </si>
  <si>
    <t>Parna</t>
  </si>
  <si>
    <t>Subhasmita</t>
  </si>
  <si>
    <t>Suhani</t>
  </si>
  <si>
    <t>Noopur</t>
  </si>
  <si>
    <t>Vijay</t>
  </si>
  <si>
    <t>Amisha</t>
  </si>
  <si>
    <t>Kritika</t>
  </si>
  <si>
    <t>Shubhi</t>
  </si>
  <si>
    <t>Maithilee</t>
  </si>
  <si>
    <t>Shaily</t>
  </si>
  <si>
    <t>Riya</t>
  </si>
  <si>
    <t>Shweta</t>
  </si>
  <si>
    <t>Swetlana</t>
  </si>
  <si>
    <t>Shivani</t>
  </si>
  <si>
    <t>Kishwar</t>
  </si>
  <si>
    <t>Aakanksha</t>
  </si>
  <si>
    <t>Megha</t>
  </si>
  <si>
    <t>Sakshi</t>
  </si>
  <si>
    <t>Adhvaita</t>
  </si>
  <si>
    <t>Raksha</t>
  </si>
  <si>
    <t>Stuti</t>
  </si>
  <si>
    <t>Srishti</t>
  </si>
  <si>
    <t>Surabhi</t>
  </si>
  <si>
    <t>Manshul</t>
  </si>
  <si>
    <t>Namrata</t>
  </si>
  <si>
    <t>Anchal</t>
  </si>
  <si>
    <t>Inderpreet</t>
  </si>
  <si>
    <t>Wale</t>
  </si>
  <si>
    <t>Anisha</t>
  </si>
  <si>
    <t>Kiran</t>
  </si>
  <si>
    <t>Turumella</t>
  </si>
  <si>
    <t>Ameesha</t>
  </si>
  <si>
    <t>Madhulika</t>
  </si>
  <si>
    <t>Rishabh</t>
  </si>
  <si>
    <t>Akash</t>
  </si>
  <si>
    <t>Anubhaw</t>
  </si>
  <si>
    <t>Dhirajendu</t>
  </si>
  <si>
    <t>Pranav</t>
  </si>
  <si>
    <t>Arindam</t>
  </si>
  <si>
    <t>Akshat</t>
  </si>
  <si>
    <t>Shubham</t>
  </si>
  <si>
    <t>Ayush</t>
  </si>
  <si>
    <t>Daksh</t>
  </si>
  <si>
    <t>Rane</t>
  </si>
  <si>
    <t>Navdeep</t>
  </si>
  <si>
    <t>Ashwin</t>
  </si>
  <si>
    <t>Aman</t>
  </si>
  <si>
    <t>Devendra</t>
  </si>
  <si>
    <t>Kartik</t>
  </si>
  <si>
    <t>Shivam</t>
  </si>
  <si>
    <t>Harsh</t>
  </si>
  <si>
    <t>Nitant</t>
  </si>
  <si>
    <t>Priyanshu</t>
  </si>
  <si>
    <t>Nishant</t>
  </si>
  <si>
    <t>Vaibhav</t>
  </si>
  <si>
    <t>Akshay</t>
  </si>
  <si>
    <t>Shourya</t>
  </si>
  <si>
    <t>Mohan</t>
  </si>
  <si>
    <t>Mohit</t>
  </si>
  <si>
    <t>Soumya</t>
  </si>
  <si>
    <t>Anudeep</t>
  </si>
  <si>
    <t>Noshiba</t>
  </si>
  <si>
    <t>Sanjova</t>
  </si>
  <si>
    <t>Meghana</t>
  </si>
  <si>
    <t>Ashmeet</t>
  </si>
  <si>
    <t>Shreyoshe</t>
  </si>
  <si>
    <t>Surbhi</t>
  </si>
  <si>
    <t>Vaibhavi</t>
  </si>
  <si>
    <t>Sanjana</t>
  </si>
  <si>
    <t>Snehal</t>
  </si>
  <si>
    <t>Duhita</t>
  </si>
  <si>
    <t>Mousam</t>
  </si>
  <si>
    <t>Aditi</t>
  </si>
  <si>
    <t>Savi</t>
  </si>
  <si>
    <t>Teena</t>
  </si>
  <si>
    <t>Rutuja</t>
  </si>
  <si>
    <t>Shivangi</t>
  </si>
  <si>
    <t>Rohit</t>
  </si>
  <si>
    <t>Abhishek</t>
  </si>
  <si>
    <t>Asish</t>
  </si>
  <si>
    <t>Dinesh</t>
  </si>
  <si>
    <t>Sajal</t>
  </si>
  <si>
    <t>Avish</t>
  </si>
  <si>
    <t>Siddharth</t>
  </si>
  <si>
    <t>Sukant</t>
  </si>
  <si>
    <t>Sukrith</t>
  </si>
  <si>
    <t>Sauptik</t>
  </si>
  <si>
    <t>Shishu</t>
  </si>
  <si>
    <t>Divyansh</t>
  </si>
  <si>
    <t>Ishit</t>
  </si>
  <si>
    <t>Aryan</t>
  </si>
  <si>
    <t>Yash</t>
  </si>
  <si>
    <t>Shivanshu</t>
  </si>
  <si>
    <t>Sudheer</t>
  </si>
  <si>
    <t>Ankit</t>
  </si>
  <si>
    <t>Dhanraj</t>
  </si>
  <si>
    <t>Vipul</t>
  </si>
  <si>
    <t>Apsingekar</t>
  </si>
  <si>
    <t>Suman</t>
  </si>
  <si>
    <t>Nripraj</t>
  </si>
  <si>
    <t>Utsav</t>
  </si>
  <si>
    <t>Kshitij</t>
  </si>
  <si>
    <t>Hrisheekesh</t>
  </si>
  <si>
    <t>Swapnil</t>
  </si>
  <si>
    <t>Mane</t>
  </si>
  <si>
    <t>Praneet</t>
  </si>
  <si>
    <t>Sandeep</t>
  </si>
  <si>
    <t>Ankur</t>
  </si>
  <si>
    <t>Dheeraj</t>
  </si>
  <si>
    <t>Tejas</t>
  </si>
  <si>
    <t>Rohan</t>
  </si>
  <si>
    <t>Shyam</t>
  </si>
  <si>
    <t>Tanushree</t>
  </si>
  <si>
    <t>Nikita</t>
  </si>
  <si>
    <t>Apoorva</t>
  </si>
  <si>
    <t>Aastha</t>
  </si>
  <si>
    <t>Harshita</t>
  </si>
  <si>
    <t>Krishna</t>
  </si>
  <si>
    <t>Ananya</t>
  </si>
  <si>
    <t>Moumita</t>
  </si>
  <si>
    <t>Arti</t>
  </si>
  <si>
    <t>Palak</t>
  </si>
  <si>
    <t>Pranjali</t>
  </si>
  <si>
    <t>Sneha</t>
  </si>
  <si>
    <t>Ashvini</t>
  </si>
  <si>
    <t>Mrunal</t>
  </si>
  <si>
    <t>Swati</t>
  </si>
  <si>
    <t>Snel</t>
  </si>
  <si>
    <t>Soodesh</t>
  </si>
  <si>
    <t>Aniket</t>
  </si>
  <si>
    <t>K</t>
  </si>
  <si>
    <t>Kushal</t>
  </si>
  <si>
    <t>Soumyabrata</t>
  </si>
  <si>
    <t>Gaurav</t>
  </si>
  <si>
    <t>Abhijeet</t>
  </si>
  <si>
    <t>Anand</t>
  </si>
  <si>
    <t>Chikku</t>
  </si>
  <si>
    <t>Aayush</t>
  </si>
  <si>
    <t>Amol</t>
  </si>
  <si>
    <t>Manibalan</t>
  </si>
  <si>
    <t>Aromal</t>
  </si>
  <si>
    <t>Arun</t>
  </si>
  <si>
    <t>Komal</t>
  </si>
  <si>
    <t>Vikash</t>
  </si>
  <si>
    <t>Parakh</t>
  </si>
  <si>
    <t>Gunjal</t>
  </si>
  <si>
    <t>Surat</t>
  </si>
  <si>
    <t>Saurabh</t>
  </si>
  <si>
    <t>Divyeta</t>
  </si>
  <si>
    <t>Udaipur</t>
  </si>
  <si>
    <t>Divyeshkumar</t>
  </si>
  <si>
    <t>Allahabad</t>
  </si>
  <si>
    <t>Bhosale</t>
  </si>
  <si>
    <t>Amritsar</t>
  </si>
  <si>
    <t>Dashyam</t>
  </si>
  <si>
    <t>Mrinal</t>
  </si>
  <si>
    <t>Apoorv</t>
  </si>
  <si>
    <t>Masurkar</t>
  </si>
  <si>
    <t>Saptadeep</t>
  </si>
  <si>
    <t>Sumeet</t>
  </si>
  <si>
    <t>Shatayu</t>
  </si>
  <si>
    <t>Brijesh</t>
  </si>
  <si>
    <t>Vedant</t>
  </si>
  <si>
    <t>Divyansha</t>
  </si>
  <si>
    <t>Aashna</t>
  </si>
  <si>
    <t>Monu</t>
  </si>
  <si>
    <t>Sathya</t>
  </si>
  <si>
    <t>Aishwarya</t>
  </si>
  <si>
    <t>Suraj</t>
  </si>
  <si>
    <t>Ishpreet</t>
  </si>
  <si>
    <t>Amlan</t>
  </si>
  <si>
    <t>Delhi</t>
  </si>
  <si>
    <t>Bhargav</t>
  </si>
  <si>
    <t>Abhijit</t>
  </si>
  <si>
    <t>Jaydeep</t>
  </si>
  <si>
    <t>Pradeep</t>
  </si>
  <si>
    <t>Sujay</t>
  </si>
  <si>
    <t>Jay</t>
  </si>
  <si>
    <t>Phalguni</t>
  </si>
  <si>
    <t>Preksha</t>
  </si>
  <si>
    <t>Geetanjali</t>
  </si>
  <si>
    <t>Kajal</t>
  </si>
  <si>
    <t>Sukruta</t>
  </si>
  <si>
    <t>Utkarsh</t>
  </si>
  <si>
    <t>Karandeep</t>
  </si>
  <si>
    <t>Neha</t>
  </si>
  <si>
    <t>Jayanti</t>
  </si>
  <si>
    <t>Sandra</t>
  </si>
  <si>
    <t>Akshata</t>
  </si>
  <si>
    <t>Vishakha</t>
  </si>
  <si>
    <t>Prajakta</t>
  </si>
  <si>
    <t>Dipali</t>
  </si>
  <si>
    <t>Smriti</t>
  </si>
  <si>
    <t>Girase</t>
  </si>
  <si>
    <t>Monica</t>
  </si>
  <si>
    <t>Sidharth</t>
  </si>
  <si>
    <t>Bhutekar</t>
  </si>
  <si>
    <t>Shikhar</t>
  </si>
  <si>
    <t>Rahul</t>
  </si>
  <si>
    <t>Sudhir</t>
  </si>
  <si>
    <t>Nikhil</t>
  </si>
  <si>
    <t>Vineet</t>
  </si>
  <si>
    <t>Vivek</t>
  </si>
  <si>
    <t>Jaideep</t>
  </si>
  <si>
    <t>Shardul</t>
  </si>
  <si>
    <t>Syed</t>
  </si>
  <si>
    <t>Mhatre</t>
  </si>
  <si>
    <t>Chetan</t>
  </si>
  <si>
    <t>Mukund</t>
  </si>
  <si>
    <t>Shantanu</t>
  </si>
  <si>
    <t>Jesal</t>
  </si>
  <si>
    <t>Trupti</t>
  </si>
  <si>
    <t>Aparajita</t>
  </si>
  <si>
    <t>Muskan</t>
  </si>
  <si>
    <t>Tejeswini</t>
  </si>
  <si>
    <t>Pratiksha</t>
  </si>
  <si>
    <t>Oshin</t>
  </si>
  <si>
    <t>Saloni</t>
  </si>
  <si>
    <t>Paromita</t>
  </si>
  <si>
    <t>Shreyshi</t>
  </si>
  <si>
    <t>Jesslyn</t>
  </si>
  <si>
    <t>Seema</t>
  </si>
  <si>
    <t>Manisha</t>
  </si>
  <si>
    <t>Piyam</t>
  </si>
  <si>
    <t>Parin</t>
  </si>
  <si>
    <t>Amruta</t>
  </si>
  <si>
    <t>Hemangi</t>
  </si>
  <si>
    <t>Atul</t>
  </si>
  <si>
    <t>Ginny</t>
  </si>
  <si>
    <t>Manjiri</t>
  </si>
  <si>
    <t>Nirja</t>
  </si>
  <si>
    <t>Mugdha</t>
  </si>
  <si>
    <t>Mansi</t>
  </si>
  <si>
    <t>Harshal</t>
  </si>
  <si>
    <t>Omkar</t>
  </si>
  <si>
    <t>Yohann</t>
  </si>
  <si>
    <t>Prashant</t>
  </si>
  <si>
    <t>Anmol</t>
  </si>
  <si>
    <t>Diwakar</t>
  </si>
  <si>
    <t>Patil</t>
  </si>
  <si>
    <t>Hitesh</t>
  </si>
  <si>
    <t>Nandita</t>
  </si>
  <si>
    <t>Parnavi</t>
  </si>
  <si>
    <t>Arpita</t>
  </si>
  <si>
    <t>Kalyani</t>
  </si>
  <si>
    <t>Kartikay</t>
  </si>
  <si>
    <t>Ankita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</si>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</sst>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4AE66F-44E6-43CB-8DEA-EC5F3F3BCE27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dataBound="0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A45BB64-FF44-483C-AB17-FE2D5C894AAD}" autoFormatId="16" applyNumberFormats="0" applyBorderFormats="0" applyFontFormats="0" applyPatternFormats="0" applyAlignmentFormats="0" applyWidthHeightFormats="0">
  <queryTableRefresh nextId="10" unboundColumnsRight="2">
    <queryTableFields count="7">
      <queryTableField id="2" name="Order Date" tableColumnId="2"/>
      <queryTableField id="3" name="CustomerName" tableColumnId="3"/>
      <queryTableField id="7" dataBound="0" tableColumnId="7"/>
      <queryTableField id="4" name="State" tableColumnId="4"/>
      <queryTableField id="5" name="City" tableColumnId="5"/>
      <queryTableField id="6" dataBound="0" tableColumnId="6"/>
      <queryTableField id="8" dataBound="0" tableColumnId="8"/>
    </queryTableFields>
    <queryTableDeletedFields count="1">
      <deletedField name="Order 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003FBF8-FB09-4C64-A908-DB103BAA5802}" autoFormatId="16" applyNumberFormats="0" applyBorderFormats="0" applyFontFormats="0" applyPatternFormats="0" applyAlignmentFormats="0" applyWidthHeightFormats="0">
  <queryTableRefresh nextId="4">
    <queryTableFields count="2">
      <queryTableField id="2" name="Category" tableColumnId="2"/>
      <queryTableField id="3" name="Target" tableColumnId="3"/>
    </queryTableFields>
    <queryTableDeletedFields count="1">
      <deletedField name="Month of Order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63CDA-9DBE-4AFC-BB11-5F33B46EB3EA}" name="Order_Details_PBI" displayName="Order_Details_PBI" ref="A1:H501" tableType="queryTable" totalsRowShown="0">
  <autoFilter ref="A1:H501" xr:uid="{41363CDA-9DBE-4AFC-BB11-5F33B46EB3EA}"/>
  <tableColumns count="8">
    <tableColumn id="1" xr3:uid="{310AB555-8ADC-49D8-B056-69F8BD2AAADF}" uniqueName="1" name="Order ID" queryTableFieldId="1" dataDxfId="12"/>
    <tableColumn id="2" xr3:uid="{0269B8F7-4EE9-4AEE-8D04-3835C792B87E}" uniqueName="2" name="Amount" queryTableFieldId="2"/>
    <tableColumn id="3" xr3:uid="{D2A5CD58-3DC8-41DF-AEFA-9DC55CC4F4E3}" uniqueName="3" name="Profit" queryTableFieldId="3"/>
    <tableColumn id="4" xr3:uid="{51D5609D-2DD8-4865-B942-A78911381221}" uniqueName="4" name="Quantity" queryTableFieldId="4"/>
    <tableColumn id="5" xr3:uid="{FE4A6855-CB5A-4BF1-99CD-7ECD90069D28}" uniqueName="5" name="Category" queryTableFieldId="5" dataDxfId="11"/>
    <tableColumn id="6" xr3:uid="{44816519-E311-400B-8499-8409ECE372E7}" uniqueName="6" name="Sub-Category" queryTableFieldId="6" dataDxfId="10"/>
    <tableColumn id="7" xr3:uid="{7FE9C07D-F065-4D59-B3CF-1D692E34AA11}" uniqueName="7" name="Profit Margine" queryTableFieldId="7" dataDxfId="9">
      <calculatedColumnFormula>Order_Details_PBI[[#This Row],[Profit]]/Order_Details_PBI[[#This Row],[Amount]]</calculatedColumnFormula>
    </tableColumn>
    <tableColumn id="8" xr3:uid="{885FA5D4-F9C3-43FD-8BBF-1E78999C59CF}" uniqueName="8" name="Profit Status" queryTableFieldId="8" dataDxfId="8">
      <calculatedColumnFormula>IF(Order_Details_PBI[[#This Row],[Profit Margine]]&lt;0," Loss",IF(Order_Details_PBI[[#This Row],[Profit Margine]]=0," Break-Even","Profit"))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3917B-F22C-4BCE-A58F-9915B516B99D}" name="List_of_Orders_PBI" displayName="List_of_Orders_PBI" ref="I1:O501" tableType="queryTable" totalsRowShown="0">
  <autoFilter ref="I1:O501" xr:uid="{9113917B-F22C-4BCE-A58F-9915B516B99D}"/>
  <tableColumns count="7">
    <tableColumn id="2" xr3:uid="{E234C96C-0B81-4C02-A569-202BADDBA5B5}" uniqueName="2" name="Order Date" queryTableFieldId="2" dataDxfId="7"/>
    <tableColumn id="3" xr3:uid="{62EC5186-6AC0-479C-877A-DF5F2B41BB82}" uniqueName="3" name="CustomerName" queryTableFieldId="3" dataDxfId="6"/>
    <tableColumn id="7" xr3:uid="{2955EF05-0FF4-44CD-93BA-78FA08A84690}" uniqueName="7" name="Customer Name" queryTableFieldId="7" dataDxfId="5">
      <calculatedColumnFormula>UPPER(List_of_Orders_PBI[[#This Row],[CustomerName]])</calculatedColumnFormula>
    </tableColumn>
    <tableColumn id="4" xr3:uid="{6A5E8A19-7B9B-4998-809E-F44BAEAD68A8}" uniqueName="4" name="State" queryTableFieldId="4" dataDxfId="4"/>
    <tableColumn id="5" xr3:uid="{0F4EB03C-14C3-4969-A301-2FF372598B1B}" uniqueName="5" name="City" queryTableFieldId="5" dataDxfId="3"/>
    <tableColumn id="6" xr3:uid="{ACB68B07-EB61-49F0-A5A3-A8EC930152F3}" uniqueName="6" name="Date" queryTableFieldId="6" dataDxfId="2">
      <calculatedColumnFormula>TEXT(List_of_Orders_PBI[[#This Row],[Order Date]],"DD-MMM-YYYY")</calculatedColumnFormula>
    </tableColumn>
    <tableColumn id="8" xr3:uid="{312BBACD-337E-4691-A60A-E3DE46D63C08}" uniqueName="8" name="Location" queryTableFieldId="8" dataDxfId="1">
      <calculatedColumnFormula>_xlfn.CONCAT(List_of_Orders_PBI[[#This Row],[City]] &amp;" - "&amp; List_of_Orders_PBI[[#This Row],[State]])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45548A-C5D9-4028-9367-3E274ABDD8E2}" name="Sales_target_PBI" displayName="Sales_target_PBI" ref="R1:S37" tableType="queryTable" totalsRowShown="0">
  <autoFilter ref="R1:S37" xr:uid="{5945548A-C5D9-4028-9367-3E274ABDD8E2}"/>
  <tableColumns count="2">
    <tableColumn id="2" xr3:uid="{27176796-51AC-487C-9034-0F80D4C1B821}" uniqueName="2" name="Category" queryTableFieldId="2" dataDxfId="0"/>
    <tableColumn id="3" xr3:uid="{632E135C-DAE5-4E70-8799-96DB7FE86D83}" uniqueName="3" name="Targe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4C3B-31A3-47C4-946F-291810906E42}">
  <dimension ref="A1:S501"/>
  <sheetViews>
    <sheetView tabSelected="1" workbookViewId="0">
      <selection activeCell="H15" sqref="H15"/>
    </sheetView>
  </sheetViews>
  <sheetFormatPr defaultRowHeight="14.4" x14ac:dyDescent="0.3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  <col min="7" max="7" width="15.44140625" bestFit="1" customWidth="1"/>
    <col min="8" max="8" width="13.5546875" bestFit="1" customWidth="1"/>
    <col min="9" max="9" width="12.33203125" bestFit="1" customWidth="1"/>
    <col min="10" max="10" width="16.44140625" bestFit="1" customWidth="1"/>
    <col min="11" max="11" width="16.88671875" bestFit="1" customWidth="1"/>
    <col min="12" max="12" width="17.33203125" bestFit="1" customWidth="1"/>
    <col min="13" max="13" width="18.109375" bestFit="1" customWidth="1"/>
    <col min="14" max="14" width="11.88671875" bestFit="1" customWidth="1"/>
    <col min="15" max="15" width="25.5546875" bestFit="1" customWidth="1"/>
    <col min="16" max="16" width="25.5546875" customWidth="1"/>
    <col min="18" max="18" width="10.77734375" bestFit="1" customWidth="1"/>
    <col min="19" max="19" width="8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526</v>
      </c>
      <c r="H1" t="s">
        <v>527</v>
      </c>
      <c r="I1" t="s">
        <v>528</v>
      </c>
      <c r="J1" t="s">
        <v>529</v>
      </c>
      <c r="K1" s="1" t="s">
        <v>530</v>
      </c>
      <c r="L1" t="s">
        <v>531</v>
      </c>
      <c r="M1" t="s">
        <v>532</v>
      </c>
      <c r="N1" t="s">
        <v>533</v>
      </c>
      <c r="O1" t="s">
        <v>534</v>
      </c>
      <c r="R1" t="s">
        <v>4</v>
      </c>
      <c r="S1" t="s">
        <v>908</v>
      </c>
    </row>
    <row r="2" spans="1:19" x14ac:dyDescent="0.3">
      <c r="A2" t="s">
        <v>6</v>
      </c>
      <c r="B2">
        <v>1275</v>
      </c>
      <c r="C2">
        <v>-1148</v>
      </c>
      <c r="D2">
        <v>7</v>
      </c>
      <c r="E2" t="s">
        <v>7</v>
      </c>
      <c r="F2" t="s">
        <v>8</v>
      </c>
      <c r="G2">
        <f>Order_Details_PBI[[#This Row],[Profit]]/Order_Details_PBI[[#This Row],[Amount]]</f>
        <v>-0.9003921568627451</v>
      </c>
      <c r="H2" t="str">
        <f>IF(Order_Details_PBI[[#This Row],[Profit Margine]]&lt;0," Loss",IF(Order_Details_PBI[[#This Row],[Profit Margine]]=0," Break-Even","Profit"))</f>
        <v xml:space="preserve"> Loss</v>
      </c>
      <c r="I2" s="2">
        <v>43191</v>
      </c>
      <c r="J2" t="s">
        <v>535</v>
      </c>
      <c r="K2" t="str">
        <f>UPPER(List_of_Orders_PBI[[#This Row],[CustomerName]])</f>
        <v>BHARAT</v>
      </c>
      <c r="L2" t="s">
        <v>536</v>
      </c>
      <c r="M2" t="s">
        <v>537</v>
      </c>
      <c r="N2" t="str">
        <f>TEXT(List_of_Orders_PBI[[#This Row],[Order Date]],"DD-MMM-YYYY")</f>
        <v>01-Apr-2018</v>
      </c>
      <c r="O2" t="str">
        <f>_xlfn.CONCAT(List_of_Orders_PBI[[#This Row],[City]] &amp;" - "&amp; List_of_Orders_PBI[[#This Row],[State]])</f>
        <v>Ahmedabad - Gujarat</v>
      </c>
      <c r="R2" t="s">
        <v>7</v>
      </c>
      <c r="S2">
        <v>10400</v>
      </c>
    </row>
    <row r="3" spans="1:19" x14ac:dyDescent="0.3">
      <c r="A3" t="s">
        <v>14</v>
      </c>
      <c r="B3">
        <v>168</v>
      </c>
      <c r="C3">
        <v>-111</v>
      </c>
      <c r="D3">
        <v>2</v>
      </c>
      <c r="E3" t="s">
        <v>12</v>
      </c>
      <c r="F3" t="s">
        <v>15</v>
      </c>
      <c r="G3">
        <f>Order_Details_PBI[[#This Row],[Profit]]/Order_Details_PBI[[#This Row],[Amount]]</f>
        <v>-0.6607142857142857</v>
      </c>
      <c r="H3" t="str">
        <f>IF(Order_Details_PBI[[#This Row],[Profit Margine]]&lt;0," Loss",IF(Order_Details_PBI[[#This Row],[Profit Margine]]=0," Break-Even","Profit"))</f>
        <v xml:space="preserve"> Loss</v>
      </c>
      <c r="I3" s="2">
        <v>43191</v>
      </c>
      <c r="J3" t="s">
        <v>538</v>
      </c>
      <c r="K3" t="str">
        <f>UPPER(List_of_Orders_PBI[[#This Row],[CustomerName]])</f>
        <v>PEARL</v>
      </c>
      <c r="L3" t="s">
        <v>539</v>
      </c>
      <c r="M3" t="s">
        <v>540</v>
      </c>
      <c r="N3" t="str">
        <f>TEXT(List_of_Orders_PBI[[#This Row],[Order Date]],"DD-MMM-YYYY")</f>
        <v>01-Apr-2018</v>
      </c>
      <c r="O3" t="str">
        <f>_xlfn.CONCAT(List_of_Orders_PBI[[#This Row],[City]] &amp;" - "&amp; List_of_Orders_PBI[[#This Row],[State]])</f>
        <v>Pune - Maharashtra</v>
      </c>
      <c r="R3" t="s">
        <v>7</v>
      </c>
      <c r="S3">
        <v>10500</v>
      </c>
    </row>
    <row r="4" spans="1:19" x14ac:dyDescent="0.3">
      <c r="A4" t="s">
        <v>17</v>
      </c>
      <c r="B4">
        <v>1355</v>
      </c>
      <c r="C4">
        <v>-60</v>
      </c>
      <c r="D4">
        <v>5</v>
      </c>
      <c r="E4" t="s">
        <v>9</v>
      </c>
      <c r="F4" t="s">
        <v>18</v>
      </c>
      <c r="G4">
        <f>Order_Details_PBI[[#This Row],[Profit]]/Order_Details_PBI[[#This Row],[Amount]]</f>
        <v>-4.4280442804428041E-2</v>
      </c>
      <c r="H4" t="str">
        <f>IF(Order_Details_PBI[[#This Row],[Profit Margine]]&lt;0," Loss",IF(Order_Details_PBI[[#This Row],[Profit Margine]]=0," Break-Even","Profit"))</f>
        <v xml:space="preserve"> Loss</v>
      </c>
      <c r="I4" s="2">
        <v>43193</v>
      </c>
      <c r="J4" t="s">
        <v>541</v>
      </c>
      <c r="K4" t="str">
        <f>UPPER(List_of_Orders_PBI[[#This Row],[CustomerName]])</f>
        <v>JAHAN</v>
      </c>
      <c r="L4" t="s">
        <v>542</v>
      </c>
      <c r="M4" t="s">
        <v>543</v>
      </c>
      <c r="N4" t="str">
        <f>TEXT(List_of_Orders_PBI[[#This Row],[Order Date]],"DD-MMM-YYYY")</f>
        <v>03-Apr-2018</v>
      </c>
      <c r="O4" t="str">
        <f>_xlfn.CONCAT(List_of_Orders_PBI[[#This Row],[City]] &amp;" - "&amp; List_of_Orders_PBI[[#This Row],[State]])</f>
        <v>Bhopal - Madhya Pradesh</v>
      </c>
      <c r="R4" t="s">
        <v>7</v>
      </c>
      <c r="S4">
        <v>10600</v>
      </c>
    </row>
    <row r="5" spans="1:19" x14ac:dyDescent="0.3">
      <c r="A5" t="s">
        <v>21</v>
      </c>
      <c r="B5">
        <v>65</v>
      </c>
      <c r="C5">
        <v>17</v>
      </c>
      <c r="D5">
        <v>2</v>
      </c>
      <c r="E5" t="s">
        <v>9</v>
      </c>
      <c r="F5" t="s">
        <v>22</v>
      </c>
      <c r="G5">
        <f>Order_Details_PBI[[#This Row],[Profit]]/Order_Details_PBI[[#This Row],[Amount]]</f>
        <v>0.26153846153846155</v>
      </c>
      <c r="H5" t="str">
        <f>IF(Order_Details_PBI[[#This Row],[Profit Margine]]&lt;0," Loss",IF(Order_Details_PBI[[#This Row],[Profit Margine]]=0," Break-Even","Profit"))</f>
        <v>Profit</v>
      </c>
      <c r="I5" s="2">
        <v>43193</v>
      </c>
      <c r="J5" t="s">
        <v>544</v>
      </c>
      <c r="K5" t="str">
        <f>UPPER(List_of_Orders_PBI[[#This Row],[CustomerName]])</f>
        <v>DIVSHA</v>
      </c>
      <c r="L5" t="s">
        <v>545</v>
      </c>
      <c r="M5" t="s">
        <v>546</v>
      </c>
      <c r="N5" t="str">
        <f>TEXT(List_of_Orders_PBI[[#This Row],[Order Date]],"DD-MMM-YYYY")</f>
        <v>03-Apr-2018</v>
      </c>
      <c r="O5" t="str">
        <f>_xlfn.CONCAT(List_of_Orders_PBI[[#This Row],[City]] &amp;" - "&amp; List_of_Orders_PBI[[#This Row],[State]])</f>
        <v>Jaipur - Rajasthan</v>
      </c>
      <c r="R5" t="s">
        <v>7</v>
      </c>
      <c r="S5">
        <v>10800</v>
      </c>
    </row>
    <row r="6" spans="1:19" x14ac:dyDescent="0.3">
      <c r="A6" t="s">
        <v>23</v>
      </c>
      <c r="B6">
        <v>75</v>
      </c>
      <c r="C6">
        <v>0</v>
      </c>
      <c r="D6">
        <v>7</v>
      </c>
      <c r="E6" t="s">
        <v>9</v>
      </c>
      <c r="F6" t="s">
        <v>16</v>
      </c>
      <c r="G6">
        <f>Order_Details_PBI[[#This Row],[Profit]]/Order_Details_PBI[[#This Row],[Amount]]</f>
        <v>0</v>
      </c>
      <c r="H6" t="str">
        <f>IF(Order_Details_PBI[[#This Row],[Profit Margine]]&lt;0," Loss",IF(Order_Details_PBI[[#This Row],[Profit Margine]]=0," Break-Even","Profit"))</f>
        <v xml:space="preserve"> Break-Even</v>
      </c>
      <c r="I6" s="2">
        <v>43195</v>
      </c>
      <c r="J6" t="s">
        <v>547</v>
      </c>
      <c r="K6" t="str">
        <f>UPPER(List_of_Orders_PBI[[#This Row],[CustomerName]])</f>
        <v>KASHEEN</v>
      </c>
      <c r="L6" t="s">
        <v>548</v>
      </c>
      <c r="M6" t="s">
        <v>549</v>
      </c>
      <c r="N6" t="str">
        <f>TEXT(List_of_Orders_PBI[[#This Row],[Order Date]],"DD-MMM-YYYY")</f>
        <v>05-Apr-2018</v>
      </c>
      <c r="O6" t="str">
        <f>_xlfn.CONCAT(List_of_Orders_PBI[[#This Row],[City]] &amp;" - "&amp; List_of_Orders_PBI[[#This Row],[State]])</f>
        <v>Kolkata - West Bengal</v>
      </c>
      <c r="R6" t="s">
        <v>7</v>
      </c>
      <c r="S6">
        <v>10900</v>
      </c>
    </row>
    <row r="7" spans="1:19" x14ac:dyDescent="0.3">
      <c r="A7" t="s">
        <v>24</v>
      </c>
      <c r="B7">
        <v>87</v>
      </c>
      <c r="C7">
        <v>4</v>
      </c>
      <c r="D7">
        <v>2</v>
      </c>
      <c r="E7" t="s">
        <v>9</v>
      </c>
      <c r="F7" t="s">
        <v>25</v>
      </c>
      <c r="G7">
        <f>Order_Details_PBI[[#This Row],[Profit]]/Order_Details_PBI[[#This Row],[Amount]]</f>
        <v>4.5977011494252873E-2</v>
      </c>
      <c r="H7" t="str">
        <f>IF(Order_Details_PBI[[#This Row],[Profit Margine]]&lt;0," Loss",IF(Order_Details_PBI[[#This Row],[Profit Margine]]=0," Break-Even","Profit"))</f>
        <v>Profit</v>
      </c>
      <c r="I7" s="2">
        <v>43196</v>
      </c>
      <c r="J7" t="s">
        <v>550</v>
      </c>
      <c r="K7" t="str">
        <f>UPPER(List_of_Orders_PBI[[#This Row],[CustomerName]])</f>
        <v>HAZEL</v>
      </c>
      <c r="L7" t="s">
        <v>551</v>
      </c>
      <c r="M7" t="s">
        <v>552</v>
      </c>
      <c r="N7" t="str">
        <f>TEXT(List_of_Orders_PBI[[#This Row],[Order Date]],"DD-MMM-YYYY")</f>
        <v>06-Apr-2018</v>
      </c>
      <c r="O7" t="str">
        <f>_xlfn.CONCAT(List_of_Orders_PBI[[#This Row],[City]] &amp;" - "&amp; List_of_Orders_PBI[[#This Row],[State]])</f>
        <v>Bangalore - Karnataka</v>
      </c>
      <c r="R7" t="s">
        <v>7</v>
      </c>
      <c r="S7">
        <v>11000</v>
      </c>
    </row>
    <row r="8" spans="1:19" x14ac:dyDescent="0.3">
      <c r="A8" t="s">
        <v>26</v>
      </c>
      <c r="B8">
        <v>50</v>
      </c>
      <c r="C8">
        <v>15</v>
      </c>
      <c r="D8">
        <v>4</v>
      </c>
      <c r="E8" t="s">
        <v>9</v>
      </c>
      <c r="F8" t="s">
        <v>27</v>
      </c>
      <c r="G8">
        <f>Order_Details_PBI[[#This Row],[Profit]]/Order_Details_PBI[[#This Row],[Amount]]</f>
        <v>0.3</v>
      </c>
      <c r="H8" t="str">
        <f>IF(Order_Details_PBI[[#This Row],[Profit Margine]]&lt;0," Loss",IF(Order_Details_PBI[[#This Row],[Profit Margine]]=0," Break-Even","Profit"))</f>
        <v>Profit</v>
      </c>
      <c r="I8" s="2">
        <v>43196</v>
      </c>
      <c r="J8" t="s">
        <v>553</v>
      </c>
      <c r="K8" t="str">
        <f>UPPER(List_of_Orders_PBI[[#This Row],[CustomerName]])</f>
        <v>SONAKSHI</v>
      </c>
      <c r="L8" t="s">
        <v>554</v>
      </c>
      <c r="M8" t="s">
        <v>555</v>
      </c>
      <c r="N8" t="str">
        <f>TEXT(List_of_Orders_PBI[[#This Row],[Order Date]],"DD-MMM-YYYY")</f>
        <v>06-Apr-2018</v>
      </c>
      <c r="O8" t="str">
        <f>_xlfn.CONCAT(List_of_Orders_PBI[[#This Row],[City]] &amp;" - "&amp; List_of_Orders_PBI[[#This Row],[State]])</f>
        <v>Kashmir - Jammu and Kashmir</v>
      </c>
      <c r="R8" t="s">
        <v>7</v>
      </c>
      <c r="S8">
        <v>11100</v>
      </c>
    </row>
    <row r="9" spans="1:19" x14ac:dyDescent="0.3">
      <c r="A9" t="s">
        <v>28</v>
      </c>
      <c r="B9">
        <v>1364</v>
      </c>
      <c r="C9">
        <v>-1864</v>
      </c>
      <c r="D9">
        <v>5</v>
      </c>
      <c r="E9" t="s">
        <v>7</v>
      </c>
      <c r="F9" t="s">
        <v>29</v>
      </c>
      <c r="G9">
        <f>Order_Details_PBI[[#This Row],[Profit]]/Order_Details_PBI[[#This Row],[Amount]]</f>
        <v>-1.3665689149560116</v>
      </c>
      <c r="H9" t="str">
        <f>IF(Order_Details_PBI[[#This Row],[Profit Margine]]&lt;0," Loss",IF(Order_Details_PBI[[#This Row],[Profit Margine]]=0," Break-Even","Profit"))</f>
        <v xml:space="preserve"> Loss</v>
      </c>
      <c r="I9" s="2">
        <v>43198</v>
      </c>
      <c r="J9" t="s">
        <v>556</v>
      </c>
      <c r="K9" t="str">
        <f>UPPER(List_of_Orders_PBI[[#This Row],[CustomerName]])</f>
        <v>AARUSHI</v>
      </c>
      <c r="L9" t="s">
        <v>557</v>
      </c>
      <c r="M9" t="s">
        <v>558</v>
      </c>
      <c r="N9" t="str">
        <f>TEXT(List_of_Orders_PBI[[#This Row],[Order Date]],"DD-MMM-YYYY")</f>
        <v>08-Apr-2018</v>
      </c>
      <c r="O9" t="str">
        <f>_xlfn.CONCAT(List_of_Orders_PBI[[#This Row],[City]] &amp;" - "&amp; List_of_Orders_PBI[[#This Row],[State]])</f>
        <v>Chennai - Tamil Nadu</v>
      </c>
      <c r="R9" t="s">
        <v>7</v>
      </c>
      <c r="S9">
        <v>11300</v>
      </c>
    </row>
    <row r="10" spans="1:19" x14ac:dyDescent="0.3">
      <c r="A10" t="s">
        <v>31</v>
      </c>
      <c r="B10">
        <v>485</v>
      </c>
      <c r="C10">
        <v>29</v>
      </c>
      <c r="D10">
        <v>4</v>
      </c>
      <c r="E10" t="s">
        <v>12</v>
      </c>
      <c r="F10" t="s">
        <v>13</v>
      </c>
      <c r="G10">
        <f>Order_Details_PBI[[#This Row],[Profit]]/Order_Details_PBI[[#This Row],[Amount]]</f>
        <v>5.9793814432989693E-2</v>
      </c>
      <c r="H10" t="str">
        <f>IF(Order_Details_PBI[[#This Row],[Profit Margine]]&lt;0," Loss",IF(Order_Details_PBI[[#This Row],[Profit Margine]]=0," Break-Even","Profit"))</f>
        <v>Profit</v>
      </c>
      <c r="I10" s="2">
        <v>43199</v>
      </c>
      <c r="J10" t="s">
        <v>559</v>
      </c>
      <c r="K10" t="str">
        <f>UPPER(List_of_Orders_PBI[[#This Row],[CustomerName]])</f>
        <v>JITESH</v>
      </c>
      <c r="L10" t="s">
        <v>560</v>
      </c>
      <c r="M10" t="s">
        <v>561</v>
      </c>
      <c r="N10" t="str">
        <f>TEXT(List_of_Orders_PBI[[#This Row],[Order Date]],"DD-MMM-YYYY")</f>
        <v>09-Apr-2018</v>
      </c>
      <c r="O10" t="str">
        <f>_xlfn.CONCAT(List_of_Orders_PBI[[#This Row],[City]] &amp;" - "&amp; List_of_Orders_PBI[[#This Row],[State]])</f>
        <v>Lucknow - Uttar Pradesh</v>
      </c>
      <c r="R10" t="s">
        <v>7</v>
      </c>
      <c r="S10">
        <v>11400</v>
      </c>
    </row>
    <row r="11" spans="1:19" x14ac:dyDescent="0.3">
      <c r="A11" t="s">
        <v>32</v>
      </c>
      <c r="B11">
        <v>1076</v>
      </c>
      <c r="C11">
        <v>-38</v>
      </c>
      <c r="D11">
        <v>4</v>
      </c>
      <c r="E11" t="s">
        <v>12</v>
      </c>
      <c r="F11" t="s">
        <v>30</v>
      </c>
      <c r="G11">
        <f>Order_Details_PBI[[#This Row],[Profit]]/Order_Details_PBI[[#This Row],[Amount]]</f>
        <v>-3.5315985130111527E-2</v>
      </c>
      <c r="H11" t="str">
        <f>IF(Order_Details_PBI[[#This Row],[Profit Margine]]&lt;0," Loss",IF(Order_Details_PBI[[#This Row],[Profit Margine]]=0," Break-Even","Profit"))</f>
        <v xml:space="preserve"> Loss</v>
      </c>
      <c r="I11" s="2">
        <v>43199</v>
      </c>
      <c r="J11" t="s">
        <v>562</v>
      </c>
      <c r="K11" t="str">
        <f>UPPER(List_of_Orders_PBI[[#This Row],[CustomerName]])</f>
        <v>YOGESH</v>
      </c>
      <c r="L11" t="s">
        <v>563</v>
      </c>
      <c r="M11" t="s">
        <v>564</v>
      </c>
      <c r="N11" t="str">
        <f>TEXT(List_of_Orders_PBI[[#This Row],[Order Date]],"DD-MMM-YYYY")</f>
        <v>09-Apr-2018</v>
      </c>
      <c r="O11" t="str">
        <f>_xlfn.CONCAT(List_of_Orders_PBI[[#This Row],[City]] &amp;" - "&amp; List_of_Orders_PBI[[#This Row],[State]])</f>
        <v>Patna - Bihar</v>
      </c>
      <c r="R11" t="s">
        <v>7</v>
      </c>
      <c r="S11">
        <v>11500</v>
      </c>
    </row>
    <row r="12" spans="1:19" x14ac:dyDescent="0.3">
      <c r="A12" t="s">
        <v>35</v>
      </c>
      <c r="B12">
        <v>160</v>
      </c>
      <c r="C12">
        <v>-59</v>
      </c>
      <c r="D12">
        <v>2</v>
      </c>
      <c r="E12" t="s">
        <v>9</v>
      </c>
      <c r="F12" t="s">
        <v>16</v>
      </c>
      <c r="G12">
        <f>Order_Details_PBI[[#This Row],[Profit]]/Order_Details_PBI[[#This Row],[Amount]]</f>
        <v>-0.36875000000000002</v>
      </c>
      <c r="H12" t="str">
        <f>IF(Order_Details_PBI[[#This Row],[Profit Margine]]&lt;0," Loss",IF(Order_Details_PBI[[#This Row],[Profit Margine]]=0," Break-Even","Profit"))</f>
        <v xml:space="preserve"> Loss</v>
      </c>
      <c r="I12" s="2">
        <v>43201</v>
      </c>
      <c r="J12" t="s">
        <v>565</v>
      </c>
      <c r="K12" t="str">
        <f>UPPER(List_of_Orders_PBI[[#This Row],[CustomerName]])</f>
        <v>ANITA</v>
      </c>
      <c r="L12" t="s">
        <v>566</v>
      </c>
      <c r="M12" t="s">
        <v>567</v>
      </c>
      <c r="N12" t="str">
        <f>TEXT(List_of_Orders_PBI[[#This Row],[Order Date]],"DD-MMM-YYYY")</f>
        <v>11-Apr-2018</v>
      </c>
      <c r="O12" t="str">
        <f>_xlfn.CONCAT(List_of_Orders_PBI[[#This Row],[City]] &amp;" - "&amp; List_of_Orders_PBI[[#This Row],[State]])</f>
        <v xml:space="preserve">Thiruvananthapuram - Kerala </v>
      </c>
      <c r="R12" t="s">
        <v>7</v>
      </c>
      <c r="S12">
        <v>11600</v>
      </c>
    </row>
    <row r="13" spans="1:19" x14ac:dyDescent="0.3">
      <c r="A13" t="s">
        <v>36</v>
      </c>
      <c r="B13">
        <v>259</v>
      </c>
      <c r="C13">
        <v>-55</v>
      </c>
      <c r="D13">
        <v>2</v>
      </c>
      <c r="E13" t="s">
        <v>7</v>
      </c>
      <c r="F13" t="s">
        <v>19</v>
      </c>
      <c r="G13">
        <f>Order_Details_PBI[[#This Row],[Profit]]/Order_Details_PBI[[#This Row],[Amount]]</f>
        <v>-0.21235521235521235</v>
      </c>
      <c r="H13" t="str">
        <f>IF(Order_Details_PBI[[#This Row],[Profit Margine]]&lt;0," Loss",IF(Order_Details_PBI[[#This Row],[Profit Margine]]=0," Break-Even","Profit"))</f>
        <v xml:space="preserve"> Loss</v>
      </c>
      <c r="I13" s="2">
        <v>43202</v>
      </c>
      <c r="J13" t="s">
        <v>568</v>
      </c>
      <c r="K13" t="str">
        <f>UPPER(List_of_Orders_PBI[[#This Row],[CustomerName]])</f>
        <v>SHRICHAND</v>
      </c>
      <c r="L13" t="s">
        <v>569</v>
      </c>
      <c r="M13" t="s">
        <v>570</v>
      </c>
      <c r="N13" t="str">
        <f>TEXT(List_of_Orders_PBI[[#This Row],[Order Date]],"DD-MMM-YYYY")</f>
        <v>12-Apr-2018</v>
      </c>
      <c r="O13" t="str">
        <f>_xlfn.CONCAT(List_of_Orders_PBI[[#This Row],[City]] &amp;" - "&amp; List_of_Orders_PBI[[#This Row],[State]])</f>
        <v>Chandigarh - Punjab</v>
      </c>
      <c r="R13" t="s">
        <v>7</v>
      </c>
      <c r="S13">
        <v>11800</v>
      </c>
    </row>
    <row r="14" spans="1:19" x14ac:dyDescent="0.3">
      <c r="A14" t="s">
        <v>37</v>
      </c>
      <c r="B14">
        <v>1603</v>
      </c>
      <c r="C14">
        <v>0</v>
      </c>
      <c r="D14">
        <v>9</v>
      </c>
      <c r="E14" t="s">
        <v>9</v>
      </c>
      <c r="F14" t="s">
        <v>16</v>
      </c>
      <c r="G14">
        <f>Order_Details_PBI[[#This Row],[Profit]]/Order_Details_PBI[[#This Row],[Amount]]</f>
        <v>0</v>
      </c>
      <c r="H14" t="str">
        <f>IF(Order_Details_PBI[[#This Row],[Profit Margine]]&lt;0," Loss",IF(Order_Details_PBI[[#This Row],[Profit Margine]]=0," Break-Even","Profit"))</f>
        <v xml:space="preserve"> Break-Even</v>
      </c>
      <c r="I14" s="2">
        <v>43202</v>
      </c>
      <c r="J14" t="s">
        <v>571</v>
      </c>
      <c r="K14" t="str">
        <f>UPPER(List_of_Orders_PBI[[#This Row],[CustomerName]])</f>
        <v>MUKESH</v>
      </c>
      <c r="L14" t="s">
        <v>572</v>
      </c>
      <c r="M14" t="s">
        <v>570</v>
      </c>
      <c r="N14" t="str">
        <f>TEXT(List_of_Orders_PBI[[#This Row],[Order Date]],"DD-MMM-YYYY")</f>
        <v>12-Apr-2018</v>
      </c>
      <c r="O14" t="str">
        <f>_xlfn.CONCAT(List_of_Orders_PBI[[#This Row],[City]] &amp;" - "&amp; List_of_Orders_PBI[[#This Row],[State]])</f>
        <v>Chandigarh - Haryana</v>
      </c>
      <c r="R14" t="s">
        <v>9</v>
      </c>
      <c r="S14">
        <v>12000</v>
      </c>
    </row>
    <row r="15" spans="1:19" x14ac:dyDescent="0.3">
      <c r="A15" t="s">
        <v>38</v>
      </c>
      <c r="B15">
        <v>494</v>
      </c>
      <c r="C15">
        <v>54</v>
      </c>
      <c r="D15">
        <v>4</v>
      </c>
      <c r="E15" t="s">
        <v>7</v>
      </c>
      <c r="F15" t="s">
        <v>8</v>
      </c>
      <c r="G15">
        <f>Order_Details_PBI[[#This Row],[Profit]]/Order_Details_PBI[[#This Row],[Amount]]</f>
        <v>0.10931174089068826</v>
      </c>
      <c r="H15" t="str">
        <f>IF(Order_Details_PBI[[#This Row],[Profit Margine]]&lt;0," Loss",IF(Order_Details_PBI[[#This Row],[Profit Margine]]=0," Break-Even","Profit"))</f>
        <v>Profit</v>
      </c>
      <c r="I15" s="2">
        <v>43203</v>
      </c>
      <c r="J15" t="s">
        <v>573</v>
      </c>
      <c r="K15" t="str">
        <f>UPPER(List_of_Orders_PBI[[#This Row],[CustomerName]])</f>
        <v>VANDANA</v>
      </c>
      <c r="L15" t="s">
        <v>574</v>
      </c>
      <c r="M15" t="s">
        <v>575</v>
      </c>
      <c r="N15" t="str">
        <f>TEXT(List_of_Orders_PBI[[#This Row],[Order Date]],"DD-MMM-YYYY")</f>
        <v>13-Apr-2018</v>
      </c>
      <c r="O15" t="str">
        <f>_xlfn.CONCAT(List_of_Orders_PBI[[#This Row],[City]] &amp;" - "&amp; List_of_Orders_PBI[[#This Row],[State]])</f>
        <v>Simla - Himachal Pradesh</v>
      </c>
      <c r="R15" t="s">
        <v>9</v>
      </c>
      <c r="S15">
        <v>12000</v>
      </c>
    </row>
    <row r="16" spans="1:19" x14ac:dyDescent="0.3">
      <c r="A16" t="s">
        <v>39</v>
      </c>
      <c r="B16">
        <v>68</v>
      </c>
      <c r="C16">
        <v>20</v>
      </c>
      <c r="D16">
        <v>5</v>
      </c>
      <c r="E16" t="s">
        <v>9</v>
      </c>
      <c r="F16" t="s">
        <v>11</v>
      </c>
      <c r="G16">
        <f>Order_Details_PBI[[#This Row],[Profit]]/Order_Details_PBI[[#This Row],[Amount]]</f>
        <v>0.29411764705882354</v>
      </c>
      <c r="H16" t="str">
        <f>IF(Order_Details_PBI[[#This Row],[Profit Margine]]&lt;0," Loss",IF(Order_Details_PBI[[#This Row],[Profit Margine]]=0," Break-Even","Profit"))</f>
        <v>Profit</v>
      </c>
      <c r="I16" s="2">
        <v>43205</v>
      </c>
      <c r="J16" t="s">
        <v>576</v>
      </c>
      <c r="K16" t="str">
        <f>UPPER(List_of_Orders_PBI[[#This Row],[CustomerName]])</f>
        <v>BHAVNA</v>
      </c>
      <c r="L16" t="s">
        <v>577</v>
      </c>
      <c r="M16" t="s">
        <v>578</v>
      </c>
      <c r="N16" t="str">
        <f>TEXT(List_of_Orders_PBI[[#This Row],[Order Date]],"DD-MMM-YYYY")</f>
        <v>15-Apr-2018</v>
      </c>
      <c r="O16" t="str">
        <f>_xlfn.CONCAT(List_of_Orders_PBI[[#This Row],[City]] &amp;" - "&amp; List_of_Orders_PBI[[#This Row],[State]])</f>
        <v>Gangtok - Sikkim</v>
      </c>
      <c r="R16" t="s">
        <v>9</v>
      </c>
      <c r="S16">
        <v>12000</v>
      </c>
    </row>
    <row r="17" spans="1:19" x14ac:dyDescent="0.3">
      <c r="A17" t="s">
        <v>40</v>
      </c>
      <c r="B17">
        <v>42</v>
      </c>
      <c r="C17">
        <v>12</v>
      </c>
      <c r="D17">
        <v>5</v>
      </c>
      <c r="E17" t="s">
        <v>9</v>
      </c>
      <c r="F17" t="s">
        <v>11</v>
      </c>
      <c r="G17">
        <f>Order_Details_PBI[[#This Row],[Profit]]/Order_Details_PBI[[#This Row],[Amount]]</f>
        <v>0.2857142857142857</v>
      </c>
      <c r="H17" t="str">
        <f>IF(Order_Details_PBI[[#This Row],[Profit Margine]]&lt;0," Loss",IF(Order_Details_PBI[[#This Row],[Profit Margine]]=0," Break-Even","Profit"))</f>
        <v>Profit</v>
      </c>
      <c r="I17" s="2">
        <v>43205</v>
      </c>
      <c r="J17" t="s">
        <v>579</v>
      </c>
      <c r="K17" t="str">
        <f>UPPER(List_of_Orders_PBI[[#This Row],[CustomerName]])</f>
        <v>KANAK</v>
      </c>
      <c r="L17" t="s">
        <v>580</v>
      </c>
      <c r="M17" t="s">
        <v>580</v>
      </c>
      <c r="N17" t="str">
        <f>TEXT(List_of_Orders_PBI[[#This Row],[Order Date]],"DD-MMM-YYYY")</f>
        <v>15-Apr-2018</v>
      </c>
      <c r="O17" t="str">
        <f>_xlfn.CONCAT(List_of_Orders_PBI[[#This Row],[City]] &amp;" - "&amp; List_of_Orders_PBI[[#This Row],[State]])</f>
        <v>Goa - Goa</v>
      </c>
      <c r="R17" t="s">
        <v>9</v>
      </c>
      <c r="S17">
        <v>14000</v>
      </c>
    </row>
    <row r="18" spans="1:19" x14ac:dyDescent="0.3">
      <c r="A18" t="s">
        <v>41</v>
      </c>
      <c r="B18">
        <v>305</v>
      </c>
      <c r="C18">
        <v>-270</v>
      </c>
      <c r="D18">
        <v>5</v>
      </c>
      <c r="E18" t="s">
        <v>12</v>
      </c>
      <c r="F18" t="s">
        <v>13</v>
      </c>
      <c r="G18">
        <f>Order_Details_PBI[[#This Row],[Profit]]/Order_Details_PBI[[#This Row],[Amount]]</f>
        <v>-0.88524590163934425</v>
      </c>
      <c r="H18" t="str">
        <f>IF(Order_Details_PBI[[#This Row],[Profit Margine]]&lt;0," Loss",IF(Order_Details_PBI[[#This Row],[Profit Margine]]=0," Break-Even","Profit"))</f>
        <v xml:space="preserve"> Loss</v>
      </c>
      <c r="I18" s="2">
        <v>43207</v>
      </c>
      <c r="J18" t="s">
        <v>581</v>
      </c>
      <c r="K18" t="str">
        <f>UPPER(List_of_Orders_PBI[[#This Row],[CustomerName]])</f>
        <v>SAGAR</v>
      </c>
      <c r="L18" t="s">
        <v>582</v>
      </c>
      <c r="M18" t="s">
        <v>583</v>
      </c>
      <c r="N18" t="str">
        <f>TEXT(List_of_Orders_PBI[[#This Row],[Order Date]],"DD-MMM-YYYY")</f>
        <v>17-Apr-2018</v>
      </c>
      <c r="O18" t="str">
        <f>_xlfn.CONCAT(List_of_Orders_PBI[[#This Row],[City]] &amp;" - "&amp; List_of_Orders_PBI[[#This Row],[State]])</f>
        <v>Kohima - Nagaland</v>
      </c>
      <c r="R18" t="s">
        <v>9</v>
      </c>
      <c r="S18">
        <v>14000</v>
      </c>
    </row>
    <row r="19" spans="1:19" x14ac:dyDescent="0.3">
      <c r="A19" t="s">
        <v>42</v>
      </c>
      <c r="B19">
        <v>362</v>
      </c>
      <c r="C19">
        <v>127</v>
      </c>
      <c r="D19">
        <v>1</v>
      </c>
      <c r="E19" t="s">
        <v>7</v>
      </c>
      <c r="F19" t="s">
        <v>8</v>
      </c>
      <c r="G19">
        <f>Order_Details_PBI[[#This Row],[Profit]]/Order_Details_PBI[[#This Row],[Amount]]</f>
        <v>0.35082872928176795</v>
      </c>
      <c r="H19" t="str">
        <f>IF(Order_Details_PBI[[#This Row],[Profit Margine]]&lt;0," Loss",IF(Order_Details_PBI[[#This Row],[Profit Margine]]=0," Break-Even","Profit"))</f>
        <v>Profit</v>
      </c>
      <c r="I19" s="2">
        <v>43208</v>
      </c>
      <c r="J19" t="s">
        <v>584</v>
      </c>
      <c r="K19" t="str">
        <f>UPPER(List_of_Orders_PBI[[#This Row],[CustomerName]])</f>
        <v>MANJU</v>
      </c>
      <c r="L19" t="s">
        <v>585</v>
      </c>
      <c r="M19" t="s">
        <v>586</v>
      </c>
      <c r="N19" t="str">
        <f>TEXT(List_of_Orders_PBI[[#This Row],[Order Date]],"DD-MMM-YYYY")</f>
        <v>18-Apr-2018</v>
      </c>
      <c r="O19" t="str">
        <f>_xlfn.CONCAT(List_of_Orders_PBI[[#This Row],[City]] &amp;" - "&amp; List_of_Orders_PBI[[#This Row],[State]])</f>
        <v>Hyderabad - Andhra Pradesh</v>
      </c>
      <c r="R19" t="s">
        <v>9</v>
      </c>
      <c r="S19">
        <v>14000</v>
      </c>
    </row>
    <row r="20" spans="1:19" x14ac:dyDescent="0.3">
      <c r="A20" t="s">
        <v>43</v>
      </c>
      <c r="B20">
        <v>353</v>
      </c>
      <c r="C20">
        <v>90</v>
      </c>
      <c r="D20">
        <v>8</v>
      </c>
      <c r="E20" t="s">
        <v>9</v>
      </c>
      <c r="F20" t="s">
        <v>16</v>
      </c>
      <c r="G20">
        <f>Order_Details_PBI[[#This Row],[Profit]]/Order_Details_PBI[[#This Row],[Amount]]</f>
        <v>0.25495750708215298</v>
      </c>
      <c r="H20" t="str">
        <f>IF(Order_Details_PBI[[#This Row],[Profit Margine]]&lt;0," Loss",IF(Order_Details_PBI[[#This Row],[Profit Margine]]=0," Break-Even","Profit"))</f>
        <v>Profit</v>
      </c>
      <c r="I20" s="2">
        <v>43208</v>
      </c>
      <c r="J20" t="s">
        <v>587</v>
      </c>
      <c r="K20" t="str">
        <f>UPPER(List_of_Orders_PBI[[#This Row],[CustomerName]])</f>
        <v>RAMESH</v>
      </c>
      <c r="L20" t="s">
        <v>536</v>
      </c>
      <c r="M20" t="s">
        <v>537</v>
      </c>
      <c r="N20" t="str">
        <f>TEXT(List_of_Orders_PBI[[#This Row],[Order Date]],"DD-MMM-YYYY")</f>
        <v>18-Apr-2018</v>
      </c>
      <c r="O20" t="str">
        <f>_xlfn.CONCAT(List_of_Orders_PBI[[#This Row],[City]] &amp;" - "&amp; List_of_Orders_PBI[[#This Row],[State]])</f>
        <v>Ahmedabad - Gujarat</v>
      </c>
      <c r="R20" t="s">
        <v>9</v>
      </c>
      <c r="S20">
        <v>16000</v>
      </c>
    </row>
    <row r="21" spans="1:19" x14ac:dyDescent="0.3">
      <c r="A21" t="s">
        <v>44</v>
      </c>
      <c r="B21">
        <v>193</v>
      </c>
      <c r="C21">
        <v>46</v>
      </c>
      <c r="D21">
        <v>1</v>
      </c>
      <c r="E21" t="s">
        <v>12</v>
      </c>
      <c r="F21" t="s">
        <v>30</v>
      </c>
      <c r="G21">
        <f>Order_Details_PBI[[#This Row],[Profit]]/Order_Details_PBI[[#This Row],[Amount]]</f>
        <v>0.23834196891191708</v>
      </c>
      <c r="H21" t="str">
        <f>IF(Order_Details_PBI[[#This Row],[Profit Margine]]&lt;0," Loss",IF(Order_Details_PBI[[#This Row],[Profit Margine]]=0," Break-Even","Profit"))</f>
        <v>Profit</v>
      </c>
      <c r="I21" s="2">
        <v>43210</v>
      </c>
      <c r="J21" t="s">
        <v>588</v>
      </c>
      <c r="K21" t="str">
        <f>UPPER(List_of_Orders_PBI[[#This Row],[CustomerName]])</f>
        <v>SARITA</v>
      </c>
      <c r="L21" t="s">
        <v>539</v>
      </c>
      <c r="M21" t="s">
        <v>540</v>
      </c>
      <c r="N21" t="str">
        <f>TEXT(List_of_Orders_PBI[[#This Row],[Order Date]],"DD-MMM-YYYY")</f>
        <v>20-Apr-2018</v>
      </c>
      <c r="O21" t="str">
        <f>_xlfn.CONCAT(List_of_Orders_PBI[[#This Row],[City]] &amp;" - "&amp; List_of_Orders_PBI[[#This Row],[State]])</f>
        <v>Pune - Maharashtra</v>
      </c>
      <c r="R21" t="s">
        <v>9</v>
      </c>
      <c r="S21">
        <v>16000</v>
      </c>
    </row>
    <row r="22" spans="1:19" x14ac:dyDescent="0.3">
      <c r="A22" t="s">
        <v>45</v>
      </c>
      <c r="B22">
        <v>233</v>
      </c>
      <c r="C22">
        <v>-10</v>
      </c>
      <c r="D22">
        <v>5</v>
      </c>
      <c r="E22" t="s">
        <v>12</v>
      </c>
      <c r="F22" t="s">
        <v>13</v>
      </c>
      <c r="G22">
        <f>Order_Details_PBI[[#This Row],[Profit]]/Order_Details_PBI[[#This Row],[Amount]]</f>
        <v>-4.2918454935622317E-2</v>
      </c>
      <c r="H22" t="str">
        <f>IF(Order_Details_PBI[[#This Row],[Profit Margine]]&lt;0," Loss",IF(Order_Details_PBI[[#This Row],[Profit Margine]]=0," Break-Even","Profit"))</f>
        <v xml:space="preserve"> Loss</v>
      </c>
      <c r="I22" s="2">
        <v>43210</v>
      </c>
      <c r="J22" t="s">
        <v>589</v>
      </c>
      <c r="K22" t="str">
        <f>UPPER(List_of_Orders_PBI[[#This Row],[CustomerName]])</f>
        <v>DEEPAK</v>
      </c>
      <c r="L22" t="s">
        <v>542</v>
      </c>
      <c r="M22" t="s">
        <v>543</v>
      </c>
      <c r="N22" t="str">
        <f>TEXT(List_of_Orders_PBI[[#This Row],[Order Date]],"DD-MMM-YYYY")</f>
        <v>20-Apr-2018</v>
      </c>
      <c r="O22" t="str">
        <f>_xlfn.CONCAT(List_of_Orders_PBI[[#This Row],[City]] &amp;" - "&amp; List_of_Orders_PBI[[#This Row],[State]])</f>
        <v>Bhopal - Madhya Pradesh</v>
      </c>
      <c r="R22" t="s">
        <v>9</v>
      </c>
      <c r="S22">
        <v>16000</v>
      </c>
    </row>
    <row r="23" spans="1:19" x14ac:dyDescent="0.3">
      <c r="A23" t="s">
        <v>46</v>
      </c>
      <c r="B23">
        <v>534</v>
      </c>
      <c r="C23">
        <v>0</v>
      </c>
      <c r="D23">
        <v>3</v>
      </c>
      <c r="E23" t="s">
        <v>9</v>
      </c>
      <c r="F23" t="s">
        <v>16</v>
      </c>
      <c r="G23">
        <f>Order_Details_PBI[[#This Row],[Profit]]/Order_Details_PBI[[#This Row],[Amount]]</f>
        <v>0</v>
      </c>
      <c r="H23" t="str">
        <f>IF(Order_Details_PBI[[#This Row],[Profit Margine]]&lt;0," Loss",IF(Order_Details_PBI[[#This Row],[Profit Margine]]=0," Break-Even","Profit"))</f>
        <v xml:space="preserve"> Break-Even</v>
      </c>
      <c r="I23" s="2">
        <v>43212</v>
      </c>
      <c r="J23" t="s">
        <v>590</v>
      </c>
      <c r="K23" t="str">
        <f>UPPER(List_of_Orders_PBI[[#This Row],[CustomerName]])</f>
        <v>MONISHA</v>
      </c>
      <c r="L23" t="s">
        <v>545</v>
      </c>
      <c r="M23" t="s">
        <v>546</v>
      </c>
      <c r="N23" t="str">
        <f>TEXT(List_of_Orders_PBI[[#This Row],[Order Date]],"DD-MMM-YYYY")</f>
        <v>22-Apr-2018</v>
      </c>
      <c r="O23" t="str">
        <f>_xlfn.CONCAT(List_of_Orders_PBI[[#This Row],[City]] &amp;" - "&amp; List_of_Orders_PBI[[#This Row],[State]])</f>
        <v>Jaipur - Rajasthan</v>
      </c>
      <c r="R23" t="s">
        <v>9</v>
      </c>
      <c r="S23">
        <v>16000</v>
      </c>
    </row>
    <row r="24" spans="1:19" x14ac:dyDescent="0.3">
      <c r="A24" t="s">
        <v>47</v>
      </c>
      <c r="B24">
        <v>53</v>
      </c>
      <c r="C24">
        <v>1</v>
      </c>
      <c r="D24">
        <v>4</v>
      </c>
      <c r="E24" t="s">
        <v>9</v>
      </c>
      <c r="F24" t="s">
        <v>10</v>
      </c>
      <c r="G24">
        <f>Order_Details_PBI[[#This Row],[Profit]]/Order_Details_PBI[[#This Row],[Amount]]</f>
        <v>1.8867924528301886E-2</v>
      </c>
      <c r="H24" t="str">
        <f>IF(Order_Details_PBI[[#This Row],[Profit Margine]]&lt;0," Loss",IF(Order_Details_PBI[[#This Row],[Profit Margine]]=0," Break-Even","Profit"))</f>
        <v>Profit</v>
      </c>
      <c r="I24" s="2">
        <v>43212</v>
      </c>
      <c r="J24" t="s">
        <v>591</v>
      </c>
      <c r="K24" t="str">
        <f>UPPER(List_of_Orders_PBI[[#This Row],[CustomerName]])</f>
        <v>ATHARV</v>
      </c>
      <c r="L24" t="s">
        <v>548</v>
      </c>
      <c r="M24" t="s">
        <v>549</v>
      </c>
      <c r="N24" t="str">
        <f>TEXT(List_of_Orders_PBI[[#This Row],[Order Date]],"DD-MMM-YYYY")</f>
        <v>22-Apr-2018</v>
      </c>
      <c r="O24" t="str">
        <f>_xlfn.CONCAT(List_of_Orders_PBI[[#This Row],[City]] &amp;" - "&amp; List_of_Orders_PBI[[#This Row],[State]])</f>
        <v>Kolkata - West Bengal</v>
      </c>
      <c r="R24" t="s">
        <v>9</v>
      </c>
      <c r="S24">
        <v>16000</v>
      </c>
    </row>
    <row r="25" spans="1:19" x14ac:dyDescent="0.3">
      <c r="A25" t="s">
        <v>48</v>
      </c>
      <c r="B25">
        <v>26</v>
      </c>
      <c r="C25">
        <v>12</v>
      </c>
      <c r="D25">
        <v>3</v>
      </c>
      <c r="E25" t="s">
        <v>9</v>
      </c>
      <c r="F25" t="s">
        <v>11</v>
      </c>
      <c r="G25">
        <f>Order_Details_PBI[[#This Row],[Profit]]/Order_Details_PBI[[#This Row],[Amount]]</f>
        <v>0.46153846153846156</v>
      </c>
      <c r="H25" t="str">
        <f>IF(Order_Details_PBI[[#This Row],[Profit Margine]]&lt;0," Loss",IF(Order_Details_PBI[[#This Row],[Profit Margine]]=0," Break-Even","Profit"))</f>
        <v>Profit</v>
      </c>
      <c r="I25" s="2">
        <v>43212</v>
      </c>
      <c r="J25" t="s">
        <v>592</v>
      </c>
      <c r="K25" t="str">
        <f>UPPER(List_of_Orders_PBI[[#This Row],[CustomerName]])</f>
        <v>VINI</v>
      </c>
      <c r="L25" t="s">
        <v>551</v>
      </c>
      <c r="M25" t="s">
        <v>552</v>
      </c>
      <c r="N25" t="str">
        <f>TEXT(List_of_Orders_PBI[[#This Row],[Order Date]],"DD-MMM-YYYY")</f>
        <v>22-Apr-2018</v>
      </c>
      <c r="O25" t="str">
        <f>_xlfn.CONCAT(List_of_Orders_PBI[[#This Row],[City]] &amp;" - "&amp; List_of_Orders_PBI[[#This Row],[State]])</f>
        <v>Bangalore - Karnataka</v>
      </c>
      <c r="R25" t="s">
        <v>9</v>
      </c>
      <c r="S25">
        <v>16000</v>
      </c>
    </row>
    <row r="26" spans="1:19" x14ac:dyDescent="0.3">
      <c r="A26" t="s">
        <v>49</v>
      </c>
      <c r="B26">
        <v>97</v>
      </c>
      <c r="C26">
        <v>29</v>
      </c>
      <c r="D26">
        <v>2</v>
      </c>
      <c r="E26" t="s">
        <v>9</v>
      </c>
      <c r="F26" t="s">
        <v>11</v>
      </c>
      <c r="G26">
        <f>Order_Details_PBI[[#This Row],[Profit]]/Order_Details_PBI[[#This Row],[Amount]]</f>
        <v>0.29896907216494845</v>
      </c>
      <c r="H26" t="str">
        <f>IF(Order_Details_PBI[[#This Row],[Profit Margine]]&lt;0," Loss",IF(Order_Details_PBI[[#This Row],[Profit Margine]]=0," Break-Even","Profit"))</f>
        <v>Profit</v>
      </c>
      <c r="I26" s="2">
        <v>43213</v>
      </c>
      <c r="J26" t="s">
        <v>593</v>
      </c>
      <c r="K26" t="str">
        <f>UPPER(List_of_Orders_PBI[[#This Row],[CustomerName]])</f>
        <v>PINKY</v>
      </c>
      <c r="L26" t="s">
        <v>554</v>
      </c>
      <c r="M26" t="s">
        <v>555</v>
      </c>
      <c r="N26" t="str">
        <f>TEXT(List_of_Orders_PBI[[#This Row],[Order Date]],"DD-MMM-YYYY")</f>
        <v>23-Apr-2018</v>
      </c>
      <c r="O26" t="str">
        <f>_xlfn.CONCAT(List_of_Orders_PBI[[#This Row],[City]] &amp;" - "&amp; List_of_Orders_PBI[[#This Row],[State]])</f>
        <v>Kashmir - Jammu and Kashmir</v>
      </c>
      <c r="R26" t="s">
        <v>12</v>
      </c>
      <c r="S26">
        <v>9000</v>
      </c>
    </row>
    <row r="27" spans="1:19" x14ac:dyDescent="0.3">
      <c r="A27" t="s">
        <v>50</v>
      </c>
      <c r="B27">
        <v>46</v>
      </c>
      <c r="C27">
        <v>-14</v>
      </c>
      <c r="D27">
        <v>1</v>
      </c>
      <c r="E27" t="s">
        <v>12</v>
      </c>
      <c r="F27" t="s">
        <v>15</v>
      </c>
      <c r="G27">
        <f>Order_Details_PBI[[#This Row],[Profit]]/Order_Details_PBI[[#This Row],[Amount]]</f>
        <v>-0.30434782608695654</v>
      </c>
      <c r="H27" t="str">
        <f>IF(Order_Details_PBI[[#This Row],[Profit Margine]]&lt;0," Loss",IF(Order_Details_PBI[[#This Row],[Profit Margine]]=0," Break-Even","Profit"))</f>
        <v xml:space="preserve"> Loss</v>
      </c>
      <c r="I27" s="2">
        <v>43213</v>
      </c>
      <c r="J27" t="s">
        <v>594</v>
      </c>
      <c r="K27" t="str">
        <f>UPPER(List_of_Orders_PBI[[#This Row],[CustomerName]])</f>
        <v>BHISHM</v>
      </c>
      <c r="L27" t="s">
        <v>539</v>
      </c>
      <c r="M27" t="s">
        <v>595</v>
      </c>
      <c r="N27" t="str">
        <f>TEXT(List_of_Orders_PBI[[#This Row],[Order Date]],"DD-MMM-YYYY")</f>
        <v>23-Apr-2018</v>
      </c>
      <c r="O27" t="str">
        <f>_xlfn.CONCAT(List_of_Orders_PBI[[#This Row],[City]] &amp;" - "&amp; List_of_Orders_PBI[[#This Row],[State]])</f>
        <v>Mumbai - Maharashtra</v>
      </c>
      <c r="R27" t="s">
        <v>12</v>
      </c>
      <c r="S27">
        <v>9000</v>
      </c>
    </row>
    <row r="28" spans="1:19" x14ac:dyDescent="0.3">
      <c r="A28" t="s">
        <v>51</v>
      </c>
      <c r="B28">
        <v>55</v>
      </c>
      <c r="C28">
        <v>-39</v>
      </c>
      <c r="D28">
        <v>4</v>
      </c>
      <c r="E28" t="s">
        <v>9</v>
      </c>
      <c r="F28" t="s">
        <v>10</v>
      </c>
      <c r="G28">
        <f>Order_Details_PBI[[#This Row],[Profit]]/Order_Details_PBI[[#This Row],[Amount]]</f>
        <v>-0.70909090909090911</v>
      </c>
      <c r="H28" t="str">
        <f>IF(Order_Details_PBI[[#This Row],[Profit Margine]]&lt;0," Loss",IF(Order_Details_PBI[[#This Row],[Profit Margine]]=0," Break-Even","Profit"))</f>
        <v xml:space="preserve"> Loss</v>
      </c>
      <c r="I28" s="2">
        <v>43213</v>
      </c>
      <c r="J28" t="s">
        <v>596</v>
      </c>
      <c r="K28" t="str">
        <f>UPPER(List_of_Orders_PBI[[#This Row],[CustomerName]])</f>
        <v>HITIKA</v>
      </c>
      <c r="L28" t="s">
        <v>542</v>
      </c>
      <c r="M28" t="s">
        <v>597</v>
      </c>
      <c r="N28" t="str">
        <f>TEXT(List_of_Orders_PBI[[#This Row],[Order Date]],"DD-MMM-YYYY")</f>
        <v>23-Apr-2018</v>
      </c>
      <c r="O28" t="str">
        <f>_xlfn.CONCAT(List_of_Orders_PBI[[#This Row],[City]] &amp;" - "&amp; List_of_Orders_PBI[[#This Row],[State]])</f>
        <v>Indore - Madhya Pradesh</v>
      </c>
      <c r="R28" t="s">
        <v>12</v>
      </c>
      <c r="S28">
        <v>9000</v>
      </c>
    </row>
    <row r="29" spans="1:19" x14ac:dyDescent="0.3">
      <c r="A29" t="s">
        <v>52</v>
      </c>
      <c r="B29">
        <v>45</v>
      </c>
      <c r="C29">
        <v>13</v>
      </c>
      <c r="D29">
        <v>4</v>
      </c>
      <c r="E29" t="s">
        <v>9</v>
      </c>
      <c r="F29" t="s">
        <v>53</v>
      </c>
      <c r="G29">
        <f>Order_Details_PBI[[#This Row],[Profit]]/Order_Details_PBI[[#This Row],[Amount]]</f>
        <v>0.28888888888888886</v>
      </c>
      <c r="H29" t="str">
        <f>IF(Order_Details_PBI[[#This Row],[Profit Margine]]&lt;0," Loss",IF(Order_Details_PBI[[#This Row],[Profit Margine]]=0," Break-Even","Profit"))</f>
        <v>Profit</v>
      </c>
      <c r="I29" s="2">
        <v>43214</v>
      </c>
      <c r="J29" t="s">
        <v>598</v>
      </c>
      <c r="K29" t="str">
        <f>UPPER(List_of_Orders_PBI[[#This Row],[CustomerName]])</f>
        <v>POOJA</v>
      </c>
      <c r="L29" t="s">
        <v>563</v>
      </c>
      <c r="M29" t="s">
        <v>564</v>
      </c>
      <c r="N29" t="str">
        <f>TEXT(List_of_Orders_PBI[[#This Row],[Order Date]],"DD-MMM-YYYY")</f>
        <v>24-Apr-2018</v>
      </c>
      <c r="O29" t="str">
        <f>_xlfn.CONCAT(List_of_Orders_PBI[[#This Row],[City]] &amp;" - "&amp; List_of_Orders_PBI[[#This Row],[State]])</f>
        <v>Patna - Bihar</v>
      </c>
      <c r="R29" t="s">
        <v>12</v>
      </c>
      <c r="S29">
        <v>9000</v>
      </c>
    </row>
    <row r="30" spans="1:19" x14ac:dyDescent="0.3">
      <c r="A30" t="s">
        <v>54</v>
      </c>
      <c r="B30">
        <v>1560</v>
      </c>
      <c r="C30">
        <v>421</v>
      </c>
      <c r="D30">
        <v>3</v>
      </c>
      <c r="E30" t="s">
        <v>9</v>
      </c>
      <c r="F30" t="s">
        <v>18</v>
      </c>
      <c r="G30">
        <f>Order_Details_PBI[[#This Row],[Profit]]/Order_Details_PBI[[#This Row],[Amount]]</f>
        <v>0.26987179487179486</v>
      </c>
      <c r="H30" t="str">
        <f>IF(Order_Details_PBI[[#This Row],[Profit Margine]]&lt;0," Loss",IF(Order_Details_PBI[[#This Row],[Profit Margine]]=0," Break-Even","Profit"))</f>
        <v>Profit</v>
      </c>
      <c r="I30" s="2">
        <v>43214</v>
      </c>
      <c r="J30" t="s">
        <v>599</v>
      </c>
      <c r="K30" t="str">
        <f>UPPER(List_of_Orders_PBI[[#This Row],[CustomerName]])</f>
        <v>HEMANT</v>
      </c>
      <c r="L30" t="s">
        <v>566</v>
      </c>
      <c r="M30" t="s">
        <v>567</v>
      </c>
      <c r="N30" t="str">
        <f>TEXT(List_of_Orders_PBI[[#This Row],[Order Date]],"DD-MMM-YYYY")</f>
        <v>24-Apr-2018</v>
      </c>
      <c r="O30" t="str">
        <f>_xlfn.CONCAT(List_of_Orders_PBI[[#This Row],[City]] &amp;" - "&amp; List_of_Orders_PBI[[#This Row],[State]])</f>
        <v xml:space="preserve">Thiruvananthapuram - Kerala </v>
      </c>
      <c r="R30" t="s">
        <v>12</v>
      </c>
      <c r="S30">
        <v>9000</v>
      </c>
    </row>
    <row r="31" spans="1:19" x14ac:dyDescent="0.3">
      <c r="A31" t="s">
        <v>55</v>
      </c>
      <c r="B31">
        <v>133</v>
      </c>
      <c r="C31">
        <v>12</v>
      </c>
      <c r="D31">
        <v>5</v>
      </c>
      <c r="E31" t="s">
        <v>9</v>
      </c>
      <c r="F31" t="s">
        <v>10</v>
      </c>
      <c r="G31">
        <f>Order_Details_PBI[[#This Row],[Profit]]/Order_Details_PBI[[#This Row],[Amount]]</f>
        <v>9.0225563909774431E-2</v>
      </c>
      <c r="H31" t="str">
        <f>IF(Order_Details_PBI[[#This Row],[Profit Margine]]&lt;0," Loss",IF(Order_Details_PBI[[#This Row],[Profit Margine]]=0," Break-Even","Profit"))</f>
        <v>Profit</v>
      </c>
      <c r="I31" s="2">
        <v>43214</v>
      </c>
      <c r="J31" t="s">
        <v>600</v>
      </c>
      <c r="K31" t="str">
        <f>UPPER(List_of_Orders_PBI[[#This Row],[CustomerName]])</f>
        <v>SAHIL</v>
      </c>
      <c r="L31" t="s">
        <v>569</v>
      </c>
      <c r="M31" t="s">
        <v>570</v>
      </c>
      <c r="N31" t="str">
        <f>TEXT(List_of_Orders_PBI[[#This Row],[Order Date]],"DD-MMM-YYYY")</f>
        <v>24-Apr-2018</v>
      </c>
      <c r="O31" t="str">
        <f>_xlfn.CONCAT(List_of_Orders_PBI[[#This Row],[City]] &amp;" - "&amp; List_of_Orders_PBI[[#This Row],[State]])</f>
        <v>Chandigarh - Punjab</v>
      </c>
      <c r="R31" t="s">
        <v>12</v>
      </c>
      <c r="S31">
        <v>9000</v>
      </c>
    </row>
    <row r="32" spans="1:19" x14ac:dyDescent="0.3">
      <c r="A32" t="s">
        <v>56</v>
      </c>
      <c r="B32">
        <v>89</v>
      </c>
      <c r="C32">
        <v>-89</v>
      </c>
      <c r="D32">
        <v>2</v>
      </c>
      <c r="E32" t="s">
        <v>7</v>
      </c>
      <c r="F32" t="s">
        <v>34</v>
      </c>
      <c r="G32">
        <f>Order_Details_PBI[[#This Row],[Profit]]/Order_Details_PBI[[#This Row],[Amount]]</f>
        <v>-1</v>
      </c>
      <c r="H32" t="str">
        <f>IF(Order_Details_PBI[[#This Row],[Profit Margine]]&lt;0," Loss",IF(Order_Details_PBI[[#This Row],[Profit Margine]]=0," Break-Even","Profit"))</f>
        <v xml:space="preserve"> Loss</v>
      </c>
      <c r="I32" s="2">
        <v>43214</v>
      </c>
      <c r="J32" t="s">
        <v>601</v>
      </c>
      <c r="K32" t="str">
        <f>UPPER(List_of_Orders_PBI[[#This Row],[CustomerName]])</f>
        <v>RITU</v>
      </c>
      <c r="L32" t="s">
        <v>572</v>
      </c>
      <c r="M32" t="s">
        <v>570</v>
      </c>
      <c r="N32" t="str">
        <f>TEXT(List_of_Orders_PBI[[#This Row],[Order Date]],"DD-MMM-YYYY")</f>
        <v>24-Apr-2018</v>
      </c>
      <c r="O32" t="str">
        <f>_xlfn.CONCAT(List_of_Orders_PBI[[#This Row],[City]] &amp;" - "&amp; List_of_Orders_PBI[[#This Row],[State]])</f>
        <v>Chandigarh - Haryana</v>
      </c>
      <c r="R32" t="s">
        <v>12</v>
      </c>
      <c r="S32">
        <v>9000</v>
      </c>
    </row>
    <row r="33" spans="1:19" x14ac:dyDescent="0.3">
      <c r="A33" t="s">
        <v>57</v>
      </c>
      <c r="B33">
        <v>19</v>
      </c>
      <c r="C33">
        <v>-2</v>
      </c>
      <c r="D33">
        <v>2</v>
      </c>
      <c r="E33" t="s">
        <v>9</v>
      </c>
      <c r="F33" t="s">
        <v>27</v>
      </c>
      <c r="G33">
        <f>Order_Details_PBI[[#This Row],[Profit]]/Order_Details_PBI[[#This Row],[Amount]]</f>
        <v>-0.10526315789473684</v>
      </c>
      <c r="H33" t="str">
        <f>IF(Order_Details_PBI[[#This Row],[Profit Margine]]&lt;0," Loss",IF(Order_Details_PBI[[#This Row],[Profit Margine]]=0," Break-Even","Profit"))</f>
        <v xml:space="preserve"> Loss</v>
      </c>
      <c r="I33" s="2">
        <v>43215</v>
      </c>
      <c r="J33" t="s">
        <v>602</v>
      </c>
      <c r="K33" t="str">
        <f>UPPER(List_of_Orders_PBI[[#This Row],[CustomerName]])</f>
        <v>MANISH</v>
      </c>
      <c r="L33" t="s">
        <v>574</v>
      </c>
      <c r="M33" t="s">
        <v>575</v>
      </c>
      <c r="N33" t="str">
        <f>TEXT(List_of_Orders_PBI[[#This Row],[Order Date]],"DD-MMM-YYYY")</f>
        <v>25-Apr-2018</v>
      </c>
      <c r="O33" t="str">
        <f>_xlfn.CONCAT(List_of_Orders_PBI[[#This Row],[City]] &amp;" - "&amp; List_of_Orders_PBI[[#This Row],[State]])</f>
        <v>Simla - Himachal Pradesh</v>
      </c>
      <c r="R33" t="s">
        <v>12</v>
      </c>
      <c r="S33">
        <v>9000</v>
      </c>
    </row>
    <row r="34" spans="1:19" x14ac:dyDescent="0.3">
      <c r="A34" t="s">
        <v>58</v>
      </c>
      <c r="B34">
        <v>249</v>
      </c>
      <c r="C34">
        <v>-130</v>
      </c>
      <c r="D34">
        <v>4</v>
      </c>
      <c r="E34" t="s">
        <v>12</v>
      </c>
      <c r="F34" t="s">
        <v>15</v>
      </c>
      <c r="G34">
        <f>Order_Details_PBI[[#This Row],[Profit]]/Order_Details_PBI[[#This Row],[Amount]]</f>
        <v>-0.52208835341365467</v>
      </c>
      <c r="H34" t="str">
        <f>IF(Order_Details_PBI[[#This Row],[Profit Margine]]&lt;0," Loss",IF(Order_Details_PBI[[#This Row],[Profit Margine]]=0," Break-Even","Profit"))</f>
        <v xml:space="preserve"> Loss</v>
      </c>
      <c r="I34" s="2">
        <v>43216</v>
      </c>
      <c r="J34" t="s">
        <v>603</v>
      </c>
      <c r="K34" t="str">
        <f>UPPER(List_of_Orders_PBI[[#This Row],[CustomerName]])</f>
        <v>AMIT</v>
      </c>
      <c r="L34" t="s">
        <v>577</v>
      </c>
      <c r="M34" t="s">
        <v>578</v>
      </c>
      <c r="N34" t="str">
        <f>TEXT(List_of_Orders_PBI[[#This Row],[Order Date]],"DD-MMM-YYYY")</f>
        <v>26-Apr-2018</v>
      </c>
      <c r="O34" t="str">
        <f>_xlfn.CONCAT(List_of_Orders_PBI[[#This Row],[City]] &amp;" - "&amp; List_of_Orders_PBI[[#This Row],[State]])</f>
        <v>Gangtok - Sikkim</v>
      </c>
      <c r="R34" t="s">
        <v>12</v>
      </c>
      <c r="S34">
        <v>9000</v>
      </c>
    </row>
    <row r="35" spans="1:19" x14ac:dyDescent="0.3">
      <c r="A35" t="s">
        <v>59</v>
      </c>
      <c r="B35">
        <v>389</v>
      </c>
      <c r="C35">
        <v>-83</v>
      </c>
      <c r="D35">
        <v>3</v>
      </c>
      <c r="E35" t="s">
        <v>7</v>
      </c>
      <c r="F35" t="s">
        <v>19</v>
      </c>
      <c r="G35">
        <f>Order_Details_PBI[[#This Row],[Profit]]/Order_Details_PBI[[#This Row],[Amount]]</f>
        <v>-0.21336760925449871</v>
      </c>
      <c r="H35" t="str">
        <f>IF(Order_Details_PBI[[#This Row],[Profit Margine]]&lt;0," Loss",IF(Order_Details_PBI[[#This Row],[Profit Margine]]=0," Break-Even","Profit"))</f>
        <v xml:space="preserve"> Loss</v>
      </c>
      <c r="I35" s="2">
        <v>43216</v>
      </c>
      <c r="J35" t="s">
        <v>604</v>
      </c>
      <c r="K35" t="str">
        <f>UPPER(List_of_Orders_PBI[[#This Row],[CustomerName]])</f>
        <v>SANJAY</v>
      </c>
      <c r="L35" t="s">
        <v>580</v>
      </c>
      <c r="M35" t="s">
        <v>580</v>
      </c>
      <c r="N35" t="str">
        <f>TEXT(List_of_Orders_PBI[[#This Row],[Order Date]],"DD-MMM-YYYY")</f>
        <v>26-Apr-2018</v>
      </c>
      <c r="O35" t="str">
        <f>_xlfn.CONCAT(List_of_Orders_PBI[[#This Row],[City]] &amp;" - "&amp; List_of_Orders_PBI[[#This Row],[State]])</f>
        <v>Goa - Goa</v>
      </c>
      <c r="R35" t="s">
        <v>12</v>
      </c>
      <c r="S35">
        <v>16000</v>
      </c>
    </row>
    <row r="36" spans="1:19" x14ac:dyDescent="0.3">
      <c r="A36" t="s">
        <v>60</v>
      </c>
      <c r="B36">
        <v>40</v>
      </c>
      <c r="C36">
        <v>16</v>
      </c>
      <c r="D36">
        <v>3</v>
      </c>
      <c r="E36" t="s">
        <v>9</v>
      </c>
      <c r="F36" t="s">
        <v>11</v>
      </c>
      <c r="G36">
        <f>Order_Details_PBI[[#This Row],[Profit]]/Order_Details_PBI[[#This Row],[Amount]]</f>
        <v>0.4</v>
      </c>
      <c r="H36" t="str">
        <f>IF(Order_Details_PBI[[#This Row],[Profit Margine]]&lt;0," Loss",IF(Order_Details_PBI[[#This Row],[Profit Margine]]=0," Break-Even","Profit"))</f>
        <v>Profit</v>
      </c>
      <c r="I36" s="2">
        <v>43216</v>
      </c>
      <c r="J36" t="s">
        <v>605</v>
      </c>
      <c r="K36" t="str">
        <f>UPPER(List_of_Orders_PBI[[#This Row],[CustomerName]])</f>
        <v>NIDHI</v>
      </c>
      <c r="L36" t="s">
        <v>582</v>
      </c>
      <c r="M36" t="s">
        <v>583</v>
      </c>
      <c r="N36" t="str">
        <f>TEXT(List_of_Orders_PBI[[#This Row],[Order Date]],"DD-MMM-YYYY")</f>
        <v>26-Apr-2018</v>
      </c>
      <c r="O36" t="str">
        <f>_xlfn.CONCAT(List_of_Orders_PBI[[#This Row],[City]] &amp;" - "&amp; List_of_Orders_PBI[[#This Row],[State]])</f>
        <v>Kohima - Nagaland</v>
      </c>
      <c r="R36" t="s">
        <v>12</v>
      </c>
      <c r="S36">
        <v>16000</v>
      </c>
    </row>
    <row r="37" spans="1:19" x14ac:dyDescent="0.3">
      <c r="A37" t="s">
        <v>61</v>
      </c>
      <c r="B37">
        <v>637</v>
      </c>
      <c r="C37">
        <v>113</v>
      </c>
      <c r="D37">
        <v>5</v>
      </c>
      <c r="E37" t="s">
        <v>9</v>
      </c>
      <c r="F37" t="s">
        <v>16</v>
      </c>
      <c r="G37">
        <f>Order_Details_PBI[[#This Row],[Profit]]/Order_Details_PBI[[#This Row],[Amount]]</f>
        <v>0.17739403453689168</v>
      </c>
      <c r="H37" t="str">
        <f>IF(Order_Details_PBI[[#This Row],[Profit Margine]]&lt;0," Loss",IF(Order_Details_PBI[[#This Row],[Profit Margine]]=0," Break-Even","Profit"))</f>
        <v>Profit</v>
      </c>
      <c r="I37" s="2">
        <v>43216</v>
      </c>
      <c r="J37" t="s">
        <v>606</v>
      </c>
      <c r="K37" t="str">
        <f>UPPER(List_of_Orders_PBI[[#This Row],[CustomerName]])</f>
        <v>NISHI</v>
      </c>
      <c r="L37" t="s">
        <v>539</v>
      </c>
      <c r="M37" t="s">
        <v>595</v>
      </c>
      <c r="N37" t="str">
        <f>TEXT(List_of_Orders_PBI[[#This Row],[Order Date]],"DD-MMM-YYYY")</f>
        <v>26-Apr-2018</v>
      </c>
      <c r="O37" t="str">
        <f>_xlfn.CONCAT(List_of_Orders_PBI[[#This Row],[City]] &amp;" - "&amp; List_of_Orders_PBI[[#This Row],[State]])</f>
        <v>Mumbai - Maharashtra</v>
      </c>
      <c r="R37" t="s">
        <v>12</v>
      </c>
      <c r="S37">
        <v>16000</v>
      </c>
    </row>
    <row r="38" spans="1:19" x14ac:dyDescent="0.3">
      <c r="A38" t="s">
        <v>62</v>
      </c>
      <c r="B38">
        <v>117</v>
      </c>
      <c r="C38">
        <v>14</v>
      </c>
      <c r="D38">
        <v>3</v>
      </c>
      <c r="E38" t="s">
        <v>9</v>
      </c>
      <c r="F38" t="s">
        <v>25</v>
      </c>
      <c r="G38">
        <f>Order_Details_PBI[[#This Row],[Profit]]/Order_Details_PBI[[#This Row],[Amount]]</f>
        <v>0.11965811965811966</v>
      </c>
      <c r="H38" t="str">
        <f>IF(Order_Details_PBI[[#This Row],[Profit Margine]]&lt;0," Loss",IF(Order_Details_PBI[[#This Row],[Profit Margine]]=0," Break-Even","Profit"))</f>
        <v>Profit</v>
      </c>
      <c r="I38" s="2">
        <v>43216</v>
      </c>
      <c r="J38" t="s">
        <v>607</v>
      </c>
      <c r="K38" t="str">
        <f>UPPER(List_of_Orders_PBI[[#This Row],[CustomerName]])</f>
        <v>ASHMI</v>
      </c>
      <c r="L38" t="s">
        <v>542</v>
      </c>
      <c r="M38" t="s">
        <v>597</v>
      </c>
      <c r="N38" t="str">
        <f>TEXT(List_of_Orders_PBI[[#This Row],[Order Date]],"DD-MMM-YYYY")</f>
        <v>26-Apr-2018</v>
      </c>
      <c r="O38" t="str">
        <f>_xlfn.CONCAT(List_of_Orders_PBI[[#This Row],[City]] &amp;" - "&amp; List_of_Orders_PBI[[#This Row],[State]])</f>
        <v>Indore - Madhya Pradesh</v>
      </c>
    </row>
    <row r="39" spans="1:19" x14ac:dyDescent="0.3">
      <c r="A39" t="s">
        <v>63</v>
      </c>
      <c r="B39">
        <v>182</v>
      </c>
      <c r="C39">
        <v>-11</v>
      </c>
      <c r="D39">
        <v>3</v>
      </c>
      <c r="E39" t="s">
        <v>7</v>
      </c>
      <c r="F39" t="s">
        <v>8</v>
      </c>
      <c r="G39">
        <f>Order_Details_PBI[[#This Row],[Profit]]/Order_Details_PBI[[#This Row],[Amount]]</f>
        <v>-6.043956043956044E-2</v>
      </c>
      <c r="H39" t="str">
        <f>IF(Order_Details_PBI[[#This Row],[Profit Margine]]&lt;0," Loss",IF(Order_Details_PBI[[#This Row],[Profit Margine]]=0," Break-Even","Profit"))</f>
        <v xml:space="preserve"> Loss</v>
      </c>
      <c r="I39" s="2">
        <v>43216</v>
      </c>
      <c r="J39" t="s">
        <v>608</v>
      </c>
      <c r="K39" t="str">
        <f>UPPER(List_of_Orders_PBI[[#This Row],[CustomerName]])</f>
        <v>PARTH</v>
      </c>
      <c r="L39" t="s">
        <v>539</v>
      </c>
      <c r="M39" t="s">
        <v>540</v>
      </c>
      <c r="N39" t="str">
        <f>TEXT(List_of_Orders_PBI[[#This Row],[Order Date]],"DD-MMM-YYYY")</f>
        <v>26-Apr-2018</v>
      </c>
      <c r="O39" t="str">
        <f>_xlfn.CONCAT(List_of_Orders_PBI[[#This Row],[City]] &amp;" - "&amp; List_of_Orders_PBI[[#This Row],[State]])</f>
        <v>Pune - Maharashtra</v>
      </c>
    </row>
    <row r="40" spans="1:19" x14ac:dyDescent="0.3">
      <c r="A40" t="s">
        <v>64</v>
      </c>
      <c r="B40">
        <v>1629</v>
      </c>
      <c r="C40">
        <v>-153</v>
      </c>
      <c r="D40">
        <v>3</v>
      </c>
      <c r="E40" t="s">
        <v>12</v>
      </c>
      <c r="F40" t="s">
        <v>15</v>
      </c>
      <c r="G40">
        <f>Order_Details_PBI[[#This Row],[Profit]]/Order_Details_PBI[[#This Row],[Amount]]</f>
        <v>-9.3922651933701654E-2</v>
      </c>
      <c r="H40" t="str">
        <f>IF(Order_Details_PBI[[#This Row],[Profit Margine]]&lt;0," Loss",IF(Order_Details_PBI[[#This Row],[Profit Margine]]=0," Break-Even","Profit"))</f>
        <v xml:space="preserve"> Loss</v>
      </c>
      <c r="I40" s="2">
        <v>43217</v>
      </c>
      <c r="J40" t="s">
        <v>609</v>
      </c>
      <c r="K40" t="str">
        <f>UPPER(List_of_Orders_PBI[[#This Row],[CustomerName]])</f>
        <v>LISHA</v>
      </c>
      <c r="L40" t="s">
        <v>542</v>
      </c>
      <c r="M40" t="s">
        <v>543</v>
      </c>
      <c r="N40" t="str">
        <f>TEXT(List_of_Orders_PBI[[#This Row],[Order Date]],"DD-MMM-YYYY")</f>
        <v>27-Apr-2018</v>
      </c>
      <c r="O40" t="str">
        <f>_xlfn.CONCAT(List_of_Orders_PBI[[#This Row],[City]] &amp;" - "&amp; List_of_Orders_PBI[[#This Row],[State]])</f>
        <v>Bhopal - Madhya Pradesh</v>
      </c>
    </row>
    <row r="41" spans="1:19" x14ac:dyDescent="0.3">
      <c r="A41" t="s">
        <v>65</v>
      </c>
      <c r="B41">
        <v>68</v>
      </c>
      <c r="C41">
        <v>-62</v>
      </c>
      <c r="D41">
        <v>2</v>
      </c>
      <c r="E41" t="s">
        <v>9</v>
      </c>
      <c r="F41" t="s">
        <v>18</v>
      </c>
      <c r="G41">
        <f>Order_Details_PBI[[#This Row],[Profit]]/Order_Details_PBI[[#This Row],[Amount]]</f>
        <v>-0.91176470588235292</v>
      </c>
      <c r="H41" t="str">
        <f>IF(Order_Details_PBI[[#This Row],[Profit Margine]]&lt;0," Loss",IF(Order_Details_PBI[[#This Row],[Profit Margine]]=0," Break-Even","Profit"))</f>
        <v xml:space="preserve"> Loss</v>
      </c>
      <c r="I41" s="2">
        <v>43217</v>
      </c>
      <c r="J41" t="s">
        <v>610</v>
      </c>
      <c r="K41" t="str">
        <f>UPPER(List_of_Orders_PBI[[#This Row],[CustomerName]])</f>
        <v>PARIDHI</v>
      </c>
      <c r="L41" t="s">
        <v>545</v>
      </c>
      <c r="M41" t="s">
        <v>546</v>
      </c>
      <c r="N41" t="str">
        <f>TEXT(List_of_Orders_PBI[[#This Row],[Order Date]],"DD-MMM-YYYY")</f>
        <v>27-Apr-2018</v>
      </c>
      <c r="O41" t="str">
        <f>_xlfn.CONCAT(List_of_Orders_PBI[[#This Row],[City]] &amp;" - "&amp; List_of_Orders_PBI[[#This Row],[State]])</f>
        <v>Jaipur - Rajasthan</v>
      </c>
    </row>
    <row r="42" spans="1:19" x14ac:dyDescent="0.3">
      <c r="A42" t="s">
        <v>66</v>
      </c>
      <c r="B42">
        <v>22</v>
      </c>
      <c r="C42">
        <v>-6</v>
      </c>
      <c r="D42">
        <v>1</v>
      </c>
      <c r="E42" t="s">
        <v>7</v>
      </c>
      <c r="F42" t="s">
        <v>34</v>
      </c>
      <c r="G42">
        <f>Order_Details_PBI[[#This Row],[Profit]]/Order_Details_PBI[[#This Row],[Amount]]</f>
        <v>-0.27272727272727271</v>
      </c>
      <c r="H42" t="str">
        <f>IF(Order_Details_PBI[[#This Row],[Profit Margine]]&lt;0," Loss",IF(Order_Details_PBI[[#This Row],[Profit Margine]]=0," Break-Even","Profit"))</f>
        <v xml:space="preserve"> Loss</v>
      </c>
      <c r="I42" s="2">
        <v>43217</v>
      </c>
      <c r="J42" t="s">
        <v>611</v>
      </c>
      <c r="K42" t="str">
        <f>UPPER(List_of_Orders_PBI[[#This Row],[CustomerName]])</f>
        <v>PARISHI</v>
      </c>
      <c r="L42" t="s">
        <v>548</v>
      </c>
      <c r="M42" t="s">
        <v>549</v>
      </c>
      <c r="N42" t="str">
        <f>TEXT(List_of_Orders_PBI[[#This Row],[Order Date]],"DD-MMM-YYYY")</f>
        <v>27-Apr-2018</v>
      </c>
      <c r="O42" t="str">
        <f>_xlfn.CONCAT(List_of_Orders_PBI[[#This Row],[City]] &amp;" - "&amp; List_of_Orders_PBI[[#This Row],[State]])</f>
        <v>Kolkata - West Bengal</v>
      </c>
    </row>
    <row r="43" spans="1:19" x14ac:dyDescent="0.3">
      <c r="A43" t="s">
        <v>67</v>
      </c>
      <c r="B43">
        <v>434</v>
      </c>
      <c r="C43">
        <v>26</v>
      </c>
      <c r="D43">
        <v>11</v>
      </c>
      <c r="E43" t="s">
        <v>9</v>
      </c>
      <c r="F43" t="s">
        <v>25</v>
      </c>
      <c r="G43">
        <f>Order_Details_PBI[[#This Row],[Profit]]/Order_Details_PBI[[#This Row],[Amount]]</f>
        <v>5.9907834101382486E-2</v>
      </c>
      <c r="H43" t="str">
        <f>IF(Order_Details_PBI[[#This Row],[Profit Margine]]&lt;0," Loss",IF(Order_Details_PBI[[#This Row],[Profit Margine]]=0," Break-Even","Profit"))</f>
        <v>Profit</v>
      </c>
      <c r="I43" s="2">
        <v>43218</v>
      </c>
      <c r="J43" t="s">
        <v>612</v>
      </c>
      <c r="K43" t="str">
        <f>UPPER(List_of_Orders_PBI[[#This Row],[CustomerName]])</f>
        <v>AJAY</v>
      </c>
      <c r="L43" t="s">
        <v>551</v>
      </c>
      <c r="M43" t="s">
        <v>552</v>
      </c>
      <c r="N43" t="str">
        <f>TEXT(List_of_Orders_PBI[[#This Row],[Order Date]],"DD-MMM-YYYY")</f>
        <v>28-Apr-2018</v>
      </c>
      <c r="O43" t="str">
        <f>_xlfn.CONCAT(List_of_Orders_PBI[[#This Row],[City]] &amp;" - "&amp; List_of_Orders_PBI[[#This Row],[State]])</f>
        <v>Bangalore - Karnataka</v>
      </c>
    </row>
    <row r="44" spans="1:19" x14ac:dyDescent="0.3">
      <c r="A44" t="s">
        <v>68</v>
      </c>
      <c r="B44">
        <v>1061</v>
      </c>
      <c r="C44">
        <v>-36</v>
      </c>
      <c r="D44">
        <v>8</v>
      </c>
      <c r="E44" t="s">
        <v>7</v>
      </c>
      <c r="F44" t="s">
        <v>8</v>
      </c>
      <c r="G44">
        <f>Order_Details_PBI[[#This Row],[Profit]]/Order_Details_PBI[[#This Row],[Amount]]</f>
        <v>-3.3930254476908575E-2</v>
      </c>
      <c r="H44" t="str">
        <f>IF(Order_Details_PBI[[#This Row],[Profit Margine]]&lt;0," Loss",IF(Order_Details_PBI[[#This Row],[Profit Margine]]=0," Break-Even","Profit"))</f>
        <v xml:space="preserve"> Loss</v>
      </c>
      <c r="I44" s="2">
        <v>43219</v>
      </c>
      <c r="J44" t="s">
        <v>613</v>
      </c>
      <c r="K44" t="str">
        <f>UPPER(List_of_Orders_PBI[[#This Row],[CustomerName]])</f>
        <v>KIRTI</v>
      </c>
      <c r="L44" t="s">
        <v>554</v>
      </c>
      <c r="M44" t="s">
        <v>555</v>
      </c>
      <c r="N44" t="str">
        <f>TEXT(List_of_Orders_PBI[[#This Row],[Order Date]],"DD-MMM-YYYY")</f>
        <v>29-Apr-2018</v>
      </c>
      <c r="O44" t="str">
        <f>_xlfn.CONCAT(List_of_Orders_PBI[[#This Row],[City]] &amp;" - "&amp; List_of_Orders_PBI[[#This Row],[State]])</f>
        <v>Kashmir - Jammu and Kashmir</v>
      </c>
    </row>
    <row r="45" spans="1:19" x14ac:dyDescent="0.3">
      <c r="A45" t="s">
        <v>69</v>
      </c>
      <c r="B45">
        <v>76</v>
      </c>
      <c r="C45">
        <v>-92</v>
      </c>
      <c r="D45">
        <v>8</v>
      </c>
      <c r="E45" t="s">
        <v>7</v>
      </c>
      <c r="F45" t="s">
        <v>34</v>
      </c>
      <c r="G45">
        <f>Order_Details_PBI[[#This Row],[Profit]]/Order_Details_PBI[[#This Row],[Amount]]</f>
        <v>-1.2105263157894737</v>
      </c>
      <c r="H45" t="str">
        <f>IF(Order_Details_PBI[[#This Row],[Profit Margine]]&lt;0," Loss",IF(Order_Details_PBI[[#This Row],[Profit Margine]]=0," Break-Even","Profit"))</f>
        <v xml:space="preserve"> Loss</v>
      </c>
      <c r="I45" s="2">
        <v>43220</v>
      </c>
      <c r="J45" t="s">
        <v>614</v>
      </c>
      <c r="K45" t="str">
        <f>UPPER(List_of_Orders_PBI[[#This Row],[CustomerName]])</f>
        <v>MAYANK</v>
      </c>
      <c r="L45" t="s">
        <v>539</v>
      </c>
      <c r="M45" t="s">
        <v>595</v>
      </c>
      <c r="N45" t="str">
        <f>TEXT(List_of_Orders_PBI[[#This Row],[Order Date]],"DD-MMM-YYYY")</f>
        <v>30-Apr-2018</v>
      </c>
      <c r="O45" t="str">
        <f>_xlfn.CONCAT(List_of_Orders_PBI[[#This Row],[City]] &amp;" - "&amp; List_of_Orders_PBI[[#This Row],[State]])</f>
        <v>Mumbai - Maharashtra</v>
      </c>
    </row>
    <row r="46" spans="1:19" x14ac:dyDescent="0.3">
      <c r="A46" t="s">
        <v>70</v>
      </c>
      <c r="B46">
        <v>273</v>
      </c>
      <c r="C46">
        <v>-87</v>
      </c>
      <c r="D46">
        <v>4</v>
      </c>
      <c r="E46" t="s">
        <v>12</v>
      </c>
      <c r="F46" t="s">
        <v>15</v>
      </c>
      <c r="G46">
        <f>Order_Details_PBI[[#This Row],[Profit]]/Order_Details_PBI[[#This Row],[Amount]]</f>
        <v>-0.31868131868131866</v>
      </c>
      <c r="H46" t="str">
        <f>IF(Order_Details_PBI[[#This Row],[Profit Margine]]&lt;0," Loss",IF(Order_Details_PBI[[#This Row],[Profit Margine]]=0," Break-Even","Profit"))</f>
        <v xml:space="preserve"> Loss</v>
      </c>
      <c r="I46" s="2">
        <v>43221</v>
      </c>
      <c r="J46" t="s">
        <v>615</v>
      </c>
      <c r="K46" t="str">
        <f>UPPER(List_of_Orders_PBI[[#This Row],[CustomerName]])</f>
        <v>YAANVI</v>
      </c>
      <c r="L46" t="s">
        <v>542</v>
      </c>
      <c r="M46" t="s">
        <v>597</v>
      </c>
      <c r="N46" t="str">
        <f>TEXT(List_of_Orders_PBI[[#This Row],[Order Date]],"DD-MMM-YYYY")</f>
        <v>01-May-2018</v>
      </c>
      <c r="O46" t="str">
        <f>_xlfn.CONCAT(List_of_Orders_PBI[[#This Row],[City]] &amp;" - "&amp; List_of_Orders_PBI[[#This Row],[State]])</f>
        <v>Indore - Madhya Pradesh</v>
      </c>
    </row>
    <row r="47" spans="1:19" x14ac:dyDescent="0.3">
      <c r="A47" t="s">
        <v>71</v>
      </c>
      <c r="B47">
        <v>20</v>
      </c>
      <c r="C47">
        <v>-8</v>
      </c>
      <c r="D47">
        <v>2</v>
      </c>
      <c r="E47" t="s">
        <v>9</v>
      </c>
      <c r="F47" t="s">
        <v>16</v>
      </c>
      <c r="G47">
        <f>Order_Details_PBI[[#This Row],[Profit]]/Order_Details_PBI[[#This Row],[Amount]]</f>
        <v>-0.4</v>
      </c>
      <c r="H47" t="str">
        <f>IF(Order_Details_PBI[[#This Row],[Profit Margine]]&lt;0," Loss",IF(Order_Details_PBI[[#This Row],[Profit Margine]]=0," Break-Even","Profit"))</f>
        <v xml:space="preserve"> Loss</v>
      </c>
      <c r="I47" s="2">
        <v>43221</v>
      </c>
      <c r="J47" t="s">
        <v>616</v>
      </c>
      <c r="K47" t="str">
        <f>UPPER(List_of_Orders_PBI[[#This Row],[CustomerName]])</f>
        <v>SONAL</v>
      </c>
      <c r="L47" t="s">
        <v>563</v>
      </c>
      <c r="M47" t="s">
        <v>564</v>
      </c>
      <c r="N47" t="str">
        <f>TEXT(List_of_Orders_PBI[[#This Row],[Order Date]],"DD-MMM-YYYY")</f>
        <v>01-May-2018</v>
      </c>
      <c r="O47" t="str">
        <f>_xlfn.CONCAT(List_of_Orders_PBI[[#This Row],[City]] &amp;" - "&amp; List_of_Orders_PBI[[#This Row],[State]])</f>
        <v>Patna - Bihar</v>
      </c>
    </row>
    <row r="48" spans="1:19" x14ac:dyDescent="0.3">
      <c r="A48" t="s">
        <v>72</v>
      </c>
      <c r="B48">
        <v>42</v>
      </c>
      <c r="C48">
        <v>-6</v>
      </c>
      <c r="D48">
        <v>4</v>
      </c>
      <c r="E48" t="s">
        <v>9</v>
      </c>
      <c r="F48" t="s">
        <v>16</v>
      </c>
      <c r="G48">
        <f>Order_Details_PBI[[#This Row],[Profit]]/Order_Details_PBI[[#This Row],[Amount]]</f>
        <v>-0.14285714285714285</v>
      </c>
      <c r="H48" t="str">
        <f>IF(Order_Details_PBI[[#This Row],[Profit Margine]]&lt;0," Loss",IF(Order_Details_PBI[[#This Row],[Profit Margine]]=0," Break-Even","Profit"))</f>
        <v xml:space="preserve"> Loss</v>
      </c>
      <c r="I48" s="2">
        <v>43223</v>
      </c>
      <c r="J48" t="s">
        <v>617</v>
      </c>
      <c r="K48" t="str">
        <f>UPPER(List_of_Orders_PBI[[#This Row],[CustomerName]])</f>
        <v>SHARDA</v>
      </c>
      <c r="L48" t="s">
        <v>566</v>
      </c>
      <c r="M48" t="s">
        <v>567</v>
      </c>
      <c r="N48" t="str">
        <f>TEXT(List_of_Orders_PBI[[#This Row],[Order Date]],"DD-MMM-YYYY")</f>
        <v>03-May-2018</v>
      </c>
      <c r="O48" t="str">
        <f>_xlfn.CONCAT(List_of_Orders_PBI[[#This Row],[City]] &amp;" - "&amp; List_of_Orders_PBI[[#This Row],[State]])</f>
        <v xml:space="preserve">Thiruvananthapuram - Kerala </v>
      </c>
    </row>
    <row r="49" spans="1:15" x14ac:dyDescent="0.3">
      <c r="A49" t="s">
        <v>73</v>
      </c>
      <c r="B49">
        <v>100</v>
      </c>
      <c r="C49">
        <v>-23</v>
      </c>
      <c r="D49">
        <v>1</v>
      </c>
      <c r="E49" t="s">
        <v>12</v>
      </c>
      <c r="F49" t="s">
        <v>15</v>
      </c>
      <c r="G49">
        <f>Order_Details_PBI[[#This Row],[Profit]]/Order_Details_PBI[[#This Row],[Amount]]</f>
        <v>-0.23</v>
      </c>
      <c r="H49" t="str">
        <f>IF(Order_Details_PBI[[#This Row],[Profit Margine]]&lt;0," Loss",IF(Order_Details_PBI[[#This Row],[Profit Margine]]=0," Break-Even","Profit"))</f>
        <v xml:space="preserve"> Loss</v>
      </c>
      <c r="I49" s="2">
        <v>43224</v>
      </c>
      <c r="J49" t="s">
        <v>618</v>
      </c>
      <c r="K49" t="str">
        <f>UPPER(List_of_Orders_PBI[[#This Row],[CustomerName]])</f>
        <v>ADITYA</v>
      </c>
      <c r="L49" t="s">
        <v>569</v>
      </c>
      <c r="M49" t="s">
        <v>570</v>
      </c>
      <c r="N49" t="str">
        <f>TEXT(List_of_Orders_PBI[[#This Row],[Order Date]],"DD-MMM-YYYY")</f>
        <v>04-May-2018</v>
      </c>
      <c r="O49" t="str">
        <f>_xlfn.CONCAT(List_of_Orders_PBI[[#This Row],[City]] &amp;" - "&amp; List_of_Orders_PBI[[#This Row],[State]])</f>
        <v>Chandigarh - Punjab</v>
      </c>
    </row>
    <row r="50" spans="1:15" x14ac:dyDescent="0.3">
      <c r="A50" t="s">
        <v>74</v>
      </c>
      <c r="B50">
        <v>27</v>
      </c>
      <c r="C50">
        <v>-25</v>
      </c>
      <c r="D50">
        <v>2</v>
      </c>
      <c r="E50" t="s">
        <v>9</v>
      </c>
      <c r="F50" t="s">
        <v>10</v>
      </c>
      <c r="G50">
        <f>Order_Details_PBI[[#This Row],[Profit]]/Order_Details_PBI[[#This Row],[Amount]]</f>
        <v>-0.92592592592592593</v>
      </c>
      <c r="H50" t="str">
        <f>IF(Order_Details_PBI[[#This Row],[Profit Margine]]&lt;0," Loss",IF(Order_Details_PBI[[#This Row],[Profit Margine]]=0," Break-Even","Profit"))</f>
        <v xml:space="preserve"> Loss</v>
      </c>
      <c r="I50" s="2">
        <v>43225</v>
      </c>
      <c r="J50" t="s">
        <v>619</v>
      </c>
      <c r="K50" t="str">
        <f>UPPER(List_of_Orders_PBI[[#This Row],[CustomerName]])</f>
        <v>RACHNA</v>
      </c>
      <c r="L50" t="s">
        <v>572</v>
      </c>
      <c r="M50" t="s">
        <v>570</v>
      </c>
      <c r="N50" t="str">
        <f>TEXT(List_of_Orders_PBI[[#This Row],[Order Date]],"DD-MMM-YYYY")</f>
        <v>05-May-2018</v>
      </c>
      <c r="O50" t="str">
        <f>_xlfn.CONCAT(List_of_Orders_PBI[[#This Row],[City]] &amp;" - "&amp; List_of_Orders_PBI[[#This Row],[State]])</f>
        <v>Chandigarh - Haryana</v>
      </c>
    </row>
    <row r="51" spans="1:15" x14ac:dyDescent="0.3">
      <c r="A51" t="s">
        <v>75</v>
      </c>
      <c r="B51">
        <v>245</v>
      </c>
      <c r="C51">
        <v>-78</v>
      </c>
      <c r="D51">
        <v>2</v>
      </c>
      <c r="E51" t="s">
        <v>12</v>
      </c>
      <c r="F51" t="s">
        <v>30</v>
      </c>
      <c r="G51">
        <f>Order_Details_PBI[[#This Row],[Profit]]/Order_Details_PBI[[#This Row],[Amount]]</f>
        <v>-0.3183673469387755</v>
      </c>
      <c r="H51" t="str">
        <f>IF(Order_Details_PBI[[#This Row],[Profit Margine]]&lt;0," Loss",IF(Order_Details_PBI[[#This Row],[Profit Margine]]=0," Break-Even","Profit"))</f>
        <v xml:space="preserve"> Loss</v>
      </c>
      <c r="I51" s="2">
        <v>43226</v>
      </c>
      <c r="J51" t="s">
        <v>620</v>
      </c>
      <c r="K51" t="str">
        <f>UPPER(List_of_Orders_PBI[[#This Row],[CustomerName]])</f>
        <v>CHIRAG</v>
      </c>
      <c r="L51" t="s">
        <v>539</v>
      </c>
      <c r="M51" t="s">
        <v>595</v>
      </c>
      <c r="N51" t="str">
        <f>TEXT(List_of_Orders_PBI[[#This Row],[Order Date]],"DD-MMM-YYYY")</f>
        <v>06-May-2018</v>
      </c>
      <c r="O51" t="str">
        <f>_xlfn.CONCAT(List_of_Orders_PBI[[#This Row],[City]] &amp;" - "&amp; List_of_Orders_PBI[[#This Row],[State]])</f>
        <v>Mumbai - Maharashtra</v>
      </c>
    </row>
    <row r="52" spans="1:15" x14ac:dyDescent="0.3">
      <c r="A52" t="s">
        <v>76</v>
      </c>
      <c r="B52">
        <v>200</v>
      </c>
      <c r="C52">
        <v>-60</v>
      </c>
      <c r="D52">
        <v>4</v>
      </c>
      <c r="E52" t="s">
        <v>7</v>
      </c>
      <c r="F52" t="s">
        <v>8</v>
      </c>
      <c r="G52">
        <f>Order_Details_PBI[[#This Row],[Profit]]/Order_Details_PBI[[#This Row],[Amount]]</f>
        <v>-0.3</v>
      </c>
      <c r="H52" t="str">
        <f>IF(Order_Details_PBI[[#This Row],[Profit Margine]]&lt;0," Loss",IF(Order_Details_PBI[[#This Row],[Profit Margine]]=0," Break-Even","Profit"))</f>
        <v xml:space="preserve"> Loss</v>
      </c>
      <c r="I52" s="2">
        <v>43227</v>
      </c>
      <c r="J52" t="s">
        <v>621</v>
      </c>
      <c r="K52" t="str">
        <f>UPPER(List_of_Orders_PBI[[#This Row],[CustomerName]])</f>
        <v>ANURAG</v>
      </c>
      <c r="L52" t="s">
        <v>542</v>
      </c>
      <c r="M52" t="s">
        <v>597</v>
      </c>
      <c r="N52" t="str">
        <f>TEXT(List_of_Orders_PBI[[#This Row],[Order Date]],"DD-MMM-YYYY")</f>
        <v>07-May-2018</v>
      </c>
      <c r="O52" t="str">
        <f>_xlfn.CONCAT(List_of_Orders_PBI[[#This Row],[City]] &amp;" - "&amp; List_of_Orders_PBI[[#This Row],[State]])</f>
        <v>Indore - Madhya Pradesh</v>
      </c>
    </row>
    <row r="53" spans="1:15" x14ac:dyDescent="0.3">
      <c r="A53" t="s">
        <v>77</v>
      </c>
      <c r="B53">
        <v>24</v>
      </c>
      <c r="C53">
        <v>-21</v>
      </c>
      <c r="D53">
        <v>7</v>
      </c>
      <c r="E53" t="s">
        <v>9</v>
      </c>
      <c r="F53" t="s">
        <v>53</v>
      </c>
      <c r="G53">
        <f>Order_Details_PBI[[#This Row],[Profit]]/Order_Details_PBI[[#This Row],[Amount]]</f>
        <v>-0.875</v>
      </c>
      <c r="H53" t="str">
        <f>IF(Order_Details_PBI[[#This Row],[Profit Margine]]&lt;0," Loss",IF(Order_Details_PBI[[#This Row],[Profit Margine]]=0," Break-Even","Profit"))</f>
        <v xml:space="preserve"> Loss</v>
      </c>
      <c r="I53" s="2">
        <v>43228</v>
      </c>
      <c r="J53" t="s">
        <v>622</v>
      </c>
      <c r="K53" t="str">
        <f>UPPER(List_of_Orders_PBI[[#This Row],[CustomerName]])</f>
        <v>TUSHINA</v>
      </c>
      <c r="L53" t="s">
        <v>580</v>
      </c>
      <c r="M53" t="s">
        <v>580</v>
      </c>
      <c r="N53" t="str">
        <f>TEXT(List_of_Orders_PBI[[#This Row],[Order Date]],"DD-MMM-YYYY")</f>
        <v>08-May-2018</v>
      </c>
      <c r="O53" t="str">
        <f>_xlfn.CONCAT(List_of_Orders_PBI[[#This Row],[City]] &amp;" - "&amp; List_of_Orders_PBI[[#This Row],[State]])</f>
        <v>Goa - Goa</v>
      </c>
    </row>
    <row r="54" spans="1:15" x14ac:dyDescent="0.3">
      <c r="A54" t="s">
        <v>78</v>
      </c>
      <c r="B54">
        <v>1279</v>
      </c>
      <c r="C54">
        <v>-640</v>
      </c>
      <c r="D54">
        <v>8</v>
      </c>
      <c r="E54" t="s">
        <v>12</v>
      </c>
      <c r="F54" t="s">
        <v>30</v>
      </c>
      <c r="G54">
        <f>Order_Details_PBI[[#This Row],[Profit]]/Order_Details_PBI[[#This Row],[Amount]]</f>
        <v>-0.5003909304143862</v>
      </c>
      <c r="H54" t="str">
        <f>IF(Order_Details_PBI[[#This Row],[Profit Margine]]&lt;0," Loss",IF(Order_Details_PBI[[#This Row],[Profit Margine]]=0," Break-Even","Profit"))</f>
        <v xml:space="preserve"> Loss</v>
      </c>
      <c r="I54" s="2">
        <v>43228</v>
      </c>
      <c r="J54" t="s">
        <v>623</v>
      </c>
      <c r="K54" t="str">
        <f>UPPER(List_of_Orders_PBI[[#This Row],[CustomerName]])</f>
        <v>FARAH</v>
      </c>
      <c r="L54" t="s">
        <v>582</v>
      </c>
      <c r="M54" t="s">
        <v>583</v>
      </c>
      <c r="N54" t="str">
        <f>TEXT(List_of_Orders_PBI[[#This Row],[Order Date]],"DD-MMM-YYYY")</f>
        <v>08-May-2018</v>
      </c>
      <c r="O54" t="str">
        <f>_xlfn.CONCAT(List_of_Orders_PBI[[#This Row],[City]] &amp;" - "&amp; List_of_Orders_PBI[[#This Row],[State]])</f>
        <v>Kohima - Nagaland</v>
      </c>
    </row>
    <row r="55" spans="1:15" x14ac:dyDescent="0.3">
      <c r="A55" t="s">
        <v>79</v>
      </c>
      <c r="B55">
        <v>34</v>
      </c>
      <c r="C55">
        <v>12</v>
      </c>
      <c r="D55">
        <v>3</v>
      </c>
      <c r="E55" t="s">
        <v>9</v>
      </c>
      <c r="F55" t="s">
        <v>11</v>
      </c>
      <c r="G55">
        <f>Order_Details_PBI[[#This Row],[Profit]]/Order_Details_PBI[[#This Row],[Amount]]</f>
        <v>0.35294117647058826</v>
      </c>
      <c r="H55" t="str">
        <f>IF(Order_Details_PBI[[#This Row],[Profit Margine]]&lt;0," Loss",IF(Order_Details_PBI[[#This Row],[Profit Margine]]=0," Break-Even","Profit"))</f>
        <v>Profit</v>
      </c>
      <c r="I55" s="2">
        <v>43230</v>
      </c>
      <c r="J55" t="s">
        <v>624</v>
      </c>
      <c r="K55" t="str">
        <f>UPPER(List_of_Orders_PBI[[#This Row],[CustomerName]])</f>
        <v>SABAH</v>
      </c>
      <c r="L55" t="s">
        <v>539</v>
      </c>
      <c r="M55" t="s">
        <v>595</v>
      </c>
      <c r="N55" t="str">
        <f>TEXT(List_of_Orders_PBI[[#This Row],[Order Date]],"DD-MMM-YYYY")</f>
        <v>10-May-2018</v>
      </c>
      <c r="O55" t="str">
        <f>_xlfn.CONCAT(List_of_Orders_PBI[[#This Row],[City]] &amp;" - "&amp; List_of_Orders_PBI[[#This Row],[State]])</f>
        <v>Mumbai - Maharashtra</v>
      </c>
    </row>
    <row r="56" spans="1:15" x14ac:dyDescent="0.3">
      <c r="A56" t="s">
        <v>80</v>
      </c>
      <c r="B56">
        <v>44</v>
      </c>
      <c r="C56">
        <v>-26</v>
      </c>
      <c r="D56">
        <v>3</v>
      </c>
      <c r="E56" t="s">
        <v>9</v>
      </c>
      <c r="F56" t="s">
        <v>11</v>
      </c>
      <c r="G56">
        <f>Order_Details_PBI[[#This Row],[Profit]]/Order_Details_PBI[[#This Row],[Amount]]</f>
        <v>-0.59090909090909094</v>
      </c>
      <c r="H56" t="str">
        <f>IF(Order_Details_PBI[[#This Row],[Profit Margine]]&lt;0," Loss",IF(Order_Details_PBI[[#This Row],[Profit Margine]]=0," Break-Even","Profit"))</f>
        <v xml:space="preserve"> Loss</v>
      </c>
      <c r="I56" s="2">
        <v>43231</v>
      </c>
      <c r="J56" t="s">
        <v>625</v>
      </c>
      <c r="K56" t="str">
        <f>UPPER(List_of_Orders_PBI[[#This Row],[CustomerName]])</f>
        <v>NIDA</v>
      </c>
      <c r="L56" t="s">
        <v>542</v>
      </c>
      <c r="M56" t="s">
        <v>597</v>
      </c>
      <c r="N56" t="str">
        <f>TEXT(List_of_Orders_PBI[[#This Row],[Order Date]],"DD-MMM-YYYY")</f>
        <v>11-May-2018</v>
      </c>
      <c r="O56" t="str">
        <f>_xlfn.CONCAT(List_of_Orders_PBI[[#This Row],[City]] &amp;" - "&amp; List_of_Orders_PBI[[#This Row],[State]])</f>
        <v>Indore - Madhya Pradesh</v>
      </c>
    </row>
    <row r="57" spans="1:15" x14ac:dyDescent="0.3">
      <c r="A57" t="s">
        <v>81</v>
      </c>
      <c r="B57">
        <v>534</v>
      </c>
      <c r="C57">
        <v>0</v>
      </c>
      <c r="D57">
        <v>3</v>
      </c>
      <c r="E57" t="s">
        <v>9</v>
      </c>
      <c r="F57" t="s">
        <v>16</v>
      </c>
      <c r="G57">
        <f>Order_Details_PBI[[#This Row],[Profit]]/Order_Details_PBI[[#This Row],[Amount]]</f>
        <v>0</v>
      </c>
      <c r="H57" t="str">
        <f>IF(Order_Details_PBI[[#This Row],[Profit Margine]]&lt;0," Loss",IF(Order_Details_PBI[[#This Row],[Profit Margine]]=0," Break-Even","Profit"))</f>
        <v xml:space="preserve"> Break-Even</v>
      </c>
      <c r="I57" s="2">
        <v>43231</v>
      </c>
      <c r="J57" t="s">
        <v>626</v>
      </c>
      <c r="K57" t="str">
        <f>UPPER(List_of_Orders_PBI[[#This Row],[CustomerName]])</f>
        <v>PRIYANKA</v>
      </c>
      <c r="L57" t="s">
        <v>539</v>
      </c>
      <c r="M57" t="s">
        <v>540</v>
      </c>
      <c r="N57" t="str">
        <f>TEXT(List_of_Orders_PBI[[#This Row],[Order Date]],"DD-MMM-YYYY")</f>
        <v>11-May-2018</v>
      </c>
      <c r="O57" t="str">
        <f>_xlfn.CONCAT(List_of_Orders_PBI[[#This Row],[City]] &amp;" - "&amp; List_of_Orders_PBI[[#This Row],[State]])</f>
        <v>Pune - Maharashtra</v>
      </c>
    </row>
    <row r="58" spans="1:15" x14ac:dyDescent="0.3">
      <c r="A58" t="s">
        <v>82</v>
      </c>
      <c r="B58">
        <v>1021</v>
      </c>
      <c r="C58">
        <v>-48</v>
      </c>
      <c r="D58">
        <v>4</v>
      </c>
      <c r="E58" t="s">
        <v>12</v>
      </c>
      <c r="F58" t="s">
        <v>13</v>
      </c>
      <c r="G58">
        <f>Order_Details_PBI[[#This Row],[Profit]]/Order_Details_PBI[[#This Row],[Amount]]</f>
        <v>-4.701273261508325E-2</v>
      </c>
      <c r="H58" t="str">
        <f>IF(Order_Details_PBI[[#This Row],[Profit Margine]]&lt;0," Loss",IF(Order_Details_PBI[[#This Row],[Profit Margine]]=0," Break-Even","Profit"))</f>
        <v xml:space="preserve"> Loss</v>
      </c>
      <c r="I58" s="2">
        <v>43233</v>
      </c>
      <c r="J58" t="s">
        <v>627</v>
      </c>
      <c r="K58" t="str">
        <f>UPPER(List_of_Orders_PBI[[#This Row],[CustomerName]])</f>
        <v>TULIKA</v>
      </c>
      <c r="L58" t="s">
        <v>542</v>
      </c>
      <c r="M58" t="s">
        <v>543</v>
      </c>
      <c r="N58" t="str">
        <f>TEXT(List_of_Orders_PBI[[#This Row],[Order Date]],"DD-MMM-YYYY")</f>
        <v>13-May-2018</v>
      </c>
      <c r="O58" t="str">
        <f>_xlfn.CONCAT(List_of_Orders_PBI[[#This Row],[City]] &amp;" - "&amp; List_of_Orders_PBI[[#This Row],[State]])</f>
        <v>Bhopal - Madhya Pradesh</v>
      </c>
    </row>
    <row r="59" spans="1:15" x14ac:dyDescent="0.3">
      <c r="A59" t="s">
        <v>83</v>
      </c>
      <c r="B59">
        <v>27</v>
      </c>
      <c r="C59">
        <v>9</v>
      </c>
      <c r="D59">
        <v>2</v>
      </c>
      <c r="E59" t="s">
        <v>9</v>
      </c>
      <c r="F59" t="s">
        <v>22</v>
      </c>
      <c r="G59">
        <f>Order_Details_PBI[[#This Row],[Profit]]/Order_Details_PBI[[#This Row],[Amount]]</f>
        <v>0.33333333333333331</v>
      </c>
      <c r="H59" t="str">
        <f>IF(Order_Details_PBI[[#This Row],[Profit Margine]]&lt;0," Loss",IF(Order_Details_PBI[[#This Row],[Profit Margine]]=0," Break-Even","Profit"))</f>
        <v>Profit</v>
      </c>
      <c r="I59" s="2">
        <v>43234</v>
      </c>
      <c r="J59" t="s">
        <v>628</v>
      </c>
      <c r="K59" t="str">
        <f>UPPER(List_of_Orders_PBI[[#This Row],[CustomerName]])</f>
        <v>SHEFALI</v>
      </c>
      <c r="L59" t="s">
        <v>545</v>
      </c>
      <c r="M59" t="s">
        <v>546</v>
      </c>
      <c r="N59" t="str">
        <f>TEXT(List_of_Orders_PBI[[#This Row],[Order Date]],"DD-MMM-YYYY")</f>
        <v>14-May-2018</v>
      </c>
      <c r="O59" t="str">
        <f>_xlfn.CONCAT(List_of_Orders_PBI[[#This Row],[City]] &amp;" - "&amp; List_of_Orders_PBI[[#This Row],[State]])</f>
        <v>Jaipur - Rajasthan</v>
      </c>
    </row>
    <row r="60" spans="1:15" x14ac:dyDescent="0.3">
      <c r="A60" t="s">
        <v>84</v>
      </c>
      <c r="B60">
        <v>148</v>
      </c>
      <c r="C60">
        <v>72</v>
      </c>
      <c r="D60">
        <v>7</v>
      </c>
      <c r="E60" t="s">
        <v>9</v>
      </c>
      <c r="F60" t="s">
        <v>22</v>
      </c>
      <c r="G60">
        <f>Order_Details_PBI[[#This Row],[Profit]]/Order_Details_PBI[[#This Row],[Amount]]</f>
        <v>0.48648648648648651</v>
      </c>
      <c r="H60" t="str">
        <f>IF(Order_Details_PBI[[#This Row],[Profit Margine]]&lt;0," Loss",IF(Order_Details_PBI[[#This Row],[Profit Margine]]=0," Break-Even","Profit"))</f>
        <v>Profit</v>
      </c>
      <c r="I60" s="2">
        <v>43235</v>
      </c>
      <c r="J60" t="s">
        <v>629</v>
      </c>
      <c r="K60" t="str">
        <f>UPPER(List_of_Orders_PBI[[#This Row],[CustomerName]])</f>
        <v>SANSKRITI</v>
      </c>
      <c r="L60" t="s">
        <v>548</v>
      </c>
      <c r="M60" t="s">
        <v>549</v>
      </c>
      <c r="N60" t="str">
        <f>TEXT(List_of_Orders_PBI[[#This Row],[Order Date]],"DD-MMM-YYYY")</f>
        <v>15-May-2018</v>
      </c>
      <c r="O60" t="str">
        <f>_xlfn.CONCAT(List_of_Orders_PBI[[#This Row],[City]] &amp;" - "&amp; List_of_Orders_PBI[[#This Row],[State]])</f>
        <v>Kolkata - West Bengal</v>
      </c>
    </row>
    <row r="61" spans="1:15" x14ac:dyDescent="0.3">
      <c r="A61" t="s">
        <v>85</v>
      </c>
      <c r="B61">
        <v>245</v>
      </c>
      <c r="C61">
        <v>-78</v>
      </c>
      <c r="D61">
        <v>3</v>
      </c>
      <c r="E61" t="s">
        <v>9</v>
      </c>
      <c r="F61" t="s">
        <v>16</v>
      </c>
      <c r="G61">
        <f>Order_Details_PBI[[#This Row],[Profit]]/Order_Details_PBI[[#This Row],[Amount]]</f>
        <v>-0.3183673469387755</v>
      </c>
      <c r="H61" t="str">
        <f>IF(Order_Details_PBI[[#This Row],[Profit Margine]]&lt;0," Loss",IF(Order_Details_PBI[[#This Row],[Profit Margine]]=0," Break-Even","Profit"))</f>
        <v xml:space="preserve"> Loss</v>
      </c>
      <c r="I61" s="2">
        <v>43236</v>
      </c>
      <c r="J61" t="s">
        <v>630</v>
      </c>
      <c r="K61" t="str">
        <f>UPPER(List_of_Orders_PBI[[#This Row],[CustomerName]])</f>
        <v>SHRUTI</v>
      </c>
      <c r="L61" t="s">
        <v>551</v>
      </c>
      <c r="M61" t="s">
        <v>552</v>
      </c>
      <c r="N61" t="str">
        <f>TEXT(List_of_Orders_PBI[[#This Row],[Order Date]],"DD-MMM-YYYY")</f>
        <v>16-May-2018</v>
      </c>
      <c r="O61" t="str">
        <f>_xlfn.CONCAT(List_of_Orders_PBI[[#This Row],[City]] &amp;" - "&amp; List_of_Orders_PBI[[#This Row],[State]])</f>
        <v>Bangalore - Karnataka</v>
      </c>
    </row>
    <row r="62" spans="1:15" x14ac:dyDescent="0.3">
      <c r="A62" t="s">
        <v>86</v>
      </c>
      <c r="B62">
        <v>19</v>
      </c>
      <c r="C62">
        <v>-15</v>
      </c>
      <c r="D62">
        <v>3</v>
      </c>
      <c r="E62" t="s">
        <v>9</v>
      </c>
      <c r="F62" t="s">
        <v>11</v>
      </c>
      <c r="G62">
        <f>Order_Details_PBI[[#This Row],[Profit]]/Order_Details_PBI[[#This Row],[Amount]]</f>
        <v>-0.78947368421052633</v>
      </c>
      <c r="H62" t="str">
        <f>IF(Order_Details_PBI[[#This Row],[Profit Margine]]&lt;0," Loss",IF(Order_Details_PBI[[#This Row],[Profit Margine]]=0," Break-Even","Profit"))</f>
        <v xml:space="preserve"> Loss</v>
      </c>
      <c r="I62" s="2">
        <v>43237</v>
      </c>
      <c r="J62" t="s">
        <v>631</v>
      </c>
      <c r="K62" t="str">
        <f>UPPER(List_of_Orders_PBI[[#This Row],[CustomerName]])</f>
        <v>SUBHASHREE</v>
      </c>
      <c r="L62" t="s">
        <v>554</v>
      </c>
      <c r="M62" t="s">
        <v>555</v>
      </c>
      <c r="N62" t="str">
        <f>TEXT(List_of_Orders_PBI[[#This Row],[Order Date]],"DD-MMM-YYYY")</f>
        <v>17-May-2018</v>
      </c>
      <c r="O62" t="str">
        <f>_xlfn.CONCAT(List_of_Orders_PBI[[#This Row],[City]] &amp;" - "&amp; List_of_Orders_PBI[[#This Row],[State]])</f>
        <v>Kashmir - Jammu and Kashmir</v>
      </c>
    </row>
    <row r="63" spans="1:15" x14ac:dyDescent="0.3">
      <c r="A63" t="s">
        <v>87</v>
      </c>
      <c r="B63">
        <v>24</v>
      </c>
      <c r="C63">
        <v>-2</v>
      </c>
      <c r="D63">
        <v>2</v>
      </c>
      <c r="E63" t="s">
        <v>9</v>
      </c>
      <c r="F63" t="s">
        <v>22</v>
      </c>
      <c r="G63">
        <f>Order_Details_PBI[[#This Row],[Profit]]/Order_Details_PBI[[#This Row],[Amount]]</f>
        <v>-8.3333333333333329E-2</v>
      </c>
      <c r="H63" t="str">
        <f>IF(Order_Details_PBI[[#This Row],[Profit Margine]]&lt;0," Loss",IF(Order_Details_PBI[[#This Row],[Profit Margine]]=0," Break-Even","Profit"))</f>
        <v xml:space="preserve"> Loss</v>
      </c>
      <c r="I63" s="2">
        <v>43237</v>
      </c>
      <c r="J63" t="s">
        <v>632</v>
      </c>
      <c r="K63" t="str">
        <f>UPPER(List_of_Orders_PBI[[#This Row],[CustomerName]])</f>
        <v>SWETA</v>
      </c>
      <c r="L63" t="s">
        <v>539</v>
      </c>
      <c r="M63" t="s">
        <v>595</v>
      </c>
      <c r="N63" t="str">
        <f>TEXT(List_of_Orders_PBI[[#This Row],[Order Date]],"DD-MMM-YYYY")</f>
        <v>17-May-2018</v>
      </c>
      <c r="O63" t="str">
        <f>_xlfn.CONCAT(List_of_Orders_PBI[[#This Row],[City]] &amp;" - "&amp; List_of_Orders_PBI[[#This Row],[State]])</f>
        <v>Mumbai - Maharashtra</v>
      </c>
    </row>
    <row r="64" spans="1:15" x14ac:dyDescent="0.3">
      <c r="A64" t="s">
        <v>88</v>
      </c>
      <c r="B64">
        <v>294</v>
      </c>
      <c r="C64">
        <v>138</v>
      </c>
      <c r="D64">
        <v>2</v>
      </c>
      <c r="E64" t="s">
        <v>12</v>
      </c>
      <c r="F64" t="s">
        <v>30</v>
      </c>
      <c r="G64">
        <f>Order_Details_PBI[[#This Row],[Profit]]/Order_Details_PBI[[#This Row],[Amount]]</f>
        <v>0.46938775510204084</v>
      </c>
      <c r="H64" t="str">
        <f>IF(Order_Details_PBI[[#This Row],[Profit Margine]]&lt;0," Loss",IF(Order_Details_PBI[[#This Row],[Profit Margine]]=0," Break-Even","Profit"))</f>
        <v>Profit</v>
      </c>
      <c r="I64" s="2">
        <v>43239</v>
      </c>
      <c r="J64" t="s">
        <v>633</v>
      </c>
      <c r="K64" t="str">
        <f>UPPER(List_of_Orders_PBI[[#This Row],[CustomerName]])</f>
        <v>POURNAMASI</v>
      </c>
      <c r="L64" t="s">
        <v>542</v>
      </c>
      <c r="M64" t="s">
        <v>597</v>
      </c>
      <c r="N64" t="str">
        <f>TEXT(List_of_Orders_PBI[[#This Row],[Order Date]],"DD-MMM-YYYY")</f>
        <v>19-May-2018</v>
      </c>
      <c r="O64" t="str">
        <f>_xlfn.CONCAT(List_of_Orders_PBI[[#This Row],[City]] &amp;" - "&amp; List_of_Orders_PBI[[#This Row],[State]])</f>
        <v>Indore - Madhya Pradesh</v>
      </c>
    </row>
    <row r="65" spans="1:15" x14ac:dyDescent="0.3">
      <c r="A65" t="s">
        <v>89</v>
      </c>
      <c r="B65">
        <v>444</v>
      </c>
      <c r="C65">
        <v>-200</v>
      </c>
      <c r="D65">
        <v>4</v>
      </c>
      <c r="E65" t="s">
        <v>12</v>
      </c>
      <c r="F65" t="s">
        <v>15</v>
      </c>
      <c r="G65">
        <f>Order_Details_PBI[[#This Row],[Profit]]/Order_Details_PBI[[#This Row],[Amount]]</f>
        <v>-0.45045045045045046</v>
      </c>
      <c r="H65" t="str">
        <f>IF(Order_Details_PBI[[#This Row],[Profit Margine]]&lt;0," Loss",IF(Order_Details_PBI[[#This Row],[Profit Margine]]=0," Break-Even","Profit"))</f>
        <v xml:space="preserve"> Loss</v>
      </c>
      <c r="I65" s="2">
        <v>43240</v>
      </c>
      <c r="J65" t="s">
        <v>634</v>
      </c>
      <c r="K65" t="str">
        <f>UPPER(List_of_Orders_PBI[[#This Row],[CustomerName]])</f>
        <v>PRATYUSMITA</v>
      </c>
      <c r="L65" t="s">
        <v>563</v>
      </c>
      <c r="M65" t="s">
        <v>564</v>
      </c>
      <c r="N65" t="str">
        <f>TEXT(List_of_Orders_PBI[[#This Row],[Order Date]],"DD-MMM-YYYY")</f>
        <v>20-May-2018</v>
      </c>
      <c r="O65" t="str">
        <f>_xlfn.CONCAT(List_of_Orders_PBI[[#This Row],[City]] &amp;" - "&amp; List_of_Orders_PBI[[#This Row],[State]])</f>
        <v>Patna - Bihar</v>
      </c>
    </row>
    <row r="66" spans="1:15" x14ac:dyDescent="0.3">
      <c r="A66" t="s">
        <v>90</v>
      </c>
      <c r="B66">
        <v>166</v>
      </c>
      <c r="C66">
        <v>-113</v>
      </c>
      <c r="D66">
        <v>4</v>
      </c>
      <c r="E66" t="s">
        <v>12</v>
      </c>
      <c r="F66" t="s">
        <v>33</v>
      </c>
      <c r="G66">
        <f>Order_Details_PBI[[#This Row],[Profit]]/Order_Details_PBI[[#This Row],[Amount]]</f>
        <v>-0.68072289156626509</v>
      </c>
      <c r="H66" t="str">
        <f>IF(Order_Details_PBI[[#This Row],[Profit Margine]]&lt;0," Loss",IF(Order_Details_PBI[[#This Row],[Profit Margine]]=0," Break-Even","Profit"))</f>
        <v xml:space="preserve"> Loss</v>
      </c>
      <c r="I66" s="2">
        <v>43241</v>
      </c>
      <c r="J66" t="s">
        <v>635</v>
      </c>
      <c r="K66" t="str">
        <f>UPPER(List_of_Orders_PBI[[#This Row],[CustomerName]])</f>
        <v>CHAYANIKA</v>
      </c>
      <c r="L66" t="s">
        <v>566</v>
      </c>
      <c r="M66" t="s">
        <v>567</v>
      </c>
      <c r="N66" t="str">
        <f>TEXT(List_of_Orders_PBI[[#This Row],[Order Date]],"DD-MMM-YYYY")</f>
        <v>21-May-2018</v>
      </c>
      <c r="O66" t="str">
        <f>_xlfn.CONCAT(List_of_Orders_PBI[[#This Row],[City]] &amp;" - "&amp; List_of_Orders_PBI[[#This Row],[State]])</f>
        <v xml:space="preserve">Thiruvananthapuram - Kerala </v>
      </c>
    </row>
    <row r="67" spans="1:15" x14ac:dyDescent="0.3">
      <c r="A67" t="s">
        <v>91</v>
      </c>
      <c r="B67">
        <v>934</v>
      </c>
      <c r="C67">
        <v>-916</v>
      </c>
      <c r="D67">
        <v>7</v>
      </c>
      <c r="E67" t="s">
        <v>12</v>
      </c>
      <c r="F67" t="s">
        <v>13</v>
      </c>
      <c r="G67">
        <f>Order_Details_PBI[[#This Row],[Profit]]/Order_Details_PBI[[#This Row],[Amount]]</f>
        <v>-0.98072805139186292</v>
      </c>
      <c r="H67" t="str">
        <f>IF(Order_Details_PBI[[#This Row],[Profit Margine]]&lt;0," Loss",IF(Order_Details_PBI[[#This Row],[Profit Margine]]=0," Break-Even","Profit"))</f>
        <v xml:space="preserve"> Loss</v>
      </c>
      <c r="I67" s="2">
        <v>43242</v>
      </c>
      <c r="J67" t="s">
        <v>636</v>
      </c>
      <c r="K67" t="str">
        <f>UPPER(List_of_Orders_PBI[[#This Row],[CustomerName]])</f>
        <v>TANVI</v>
      </c>
      <c r="L67" t="s">
        <v>569</v>
      </c>
      <c r="M67" t="s">
        <v>570</v>
      </c>
      <c r="N67" t="str">
        <f>TEXT(List_of_Orders_PBI[[#This Row],[Order Date]],"DD-MMM-YYYY")</f>
        <v>22-May-2018</v>
      </c>
      <c r="O67" t="str">
        <f>_xlfn.CONCAT(List_of_Orders_PBI[[#This Row],[City]] &amp;" - "&amp; List_of_Orders_PBI[[#This Row],[State]])</f>
        <v>Chandigarh - Punjab</v>
      </c>
    </row>
    <row r="68" spans="1:15" x14ac:dyDescent="0.3">
      <c r="A68" t="s">
        <v>92</v>
      </c>
      <c r="B68">
        <v>11</v>
      </c>
      <c r="C68">
        <v>-2</v>
      </c>
      <c r="D68">
        <v>4</v>
      </c>
      <c r="E68" t="s">
        <v>9</v>
      </c>
      <c r="F68" t="s">
        <v>11</v>
      </c>
      <c r="G68">
        <f>Order_Details_PBI[[#This Row],[Profit]]/Order_Details_PBI[[#This Row],[Amount]]</f>
        <v>-0.18181818181818182</v>
      </c>
      <c r="H68" t="str">
        <f>IF(Order_Details_PBI[[#This Row],[Profit Margine]]&lt;0," Loss",IF(Order_Details_PBI[[#This Row],[Profit Margine]]=0," Break-Even","Profit"))</f>
        <v xml:space="preserve"> Loss</v>
      </c>
      <c r="I68" s="2">
        <v>43243</v>
      </c>
      <c r="J68" t="s">
        <v>637</v>
      </c>
      <c r="K68" t="str">
        <f>UPPER(List_of_Orders_PBI[[#This Row],[CustomerName]])</f>
        <v>ANJALI</v>
      </c>
      <c r="L68" t="s">
        <v>572</v>
      </c>
      <c r="M68" t="s">
        <v>570</v>
      </c>
      <c r="N68" t="str">
        <f>TEXT(List_of_Orders_PBI[[#This Row],[Order Date]],"DD-MMM-YYYY")</f>
        <v>23-May-2018</v>
      </c>
      <c r="O68" t="str">
        <f>_xlfn.CONCAT(List_of_Orders_PBI[[#This Row],[City]] &amp;" - "&amp; List_of_Orders_PBI[[#This Row],[State]])</f>
        <v>Chandigarh - Haryana</v>
      </c>
    </row>
    <row r="69" spans="1:15" x14ac:dyDescent="0.3">
      <c r="A69" t="s">
        <v>93</v>
      </c>
      <c r="B69">
        <v>123</v>
      </c>
      <c r="C69">
        <v>17</v>
      </c>
      <c r="D69">
        <v>3</v>
      </c>
      <c r="E69" t="s">
        <v>7</v>
      </c>
      <c r="F69" t="s">
        <v>34</v>
      </c>
      <c r="G69">
        <f>Order_Details_PBI[[#This Row],[Profit]]/Order_Details_PBI[[#This Row],[Amount]]</f>
        <v>0.13821138211382114</v>
      </c>
      <c r="H69" t="str">
        <f>IF(Order_Details_PBI[[#This Row],[Profit Margine]]&lt;0," Loss",IF(Order_Details_PBI[[#This Row],[Profit Margine]]=0," Break-Even","Profit"))</f>
        <v>Profit</v>
      </c>
      <c r="I69" s="2">
        <v>43244</v>
      </c>
      <c r="J69" t="s">
        <v>638</v>
      </c>
      <c r="K69" t="str">
        <f>UPPER(List_of_Orders_PBI[[#This Row],[CustomerName]])</f>
        <v>RHEA</v>
      </c>
      <c r="L69" t="s">
        <v>574</v>
      </c>
      <c r="M69" t="s">
        <v>575</v>
      </c>
      <c r="N69" t="str">
        <f>TEXT(List_of_Orders_PBI[[#This Row],[Order Date]],"DD-MMM-YYYY")</f>
        <v>24-May-2018</v>
      </c>
      <c r="O69" t="str">
        <f>_xlfn.CONCAT(List_of_Orders_PBI[[#This Row],[City]] &amp;" - "&amp; List_of_Orders_PBI[[#This Row],[State]])</f>
        <v>Simla - Himachal Pradesh</v>
      </c>
    </row>
    <row r="70" spans="1:15" x14ac:dyDescent="0.3">
      <c r="A70" t="s">
        <v>94</v>
      </c>
      <c r="B70">
        <v>610</v>
      </c>
      <c r="C70">
        <v>-66</v>
      </c>
      <c r="D70">
        <v>2</v>
      </c>
      <c r="E70" t="s">
        <v>7</v>
      </c>
      <c r="F70" t="s">
        <v>29</v>
      </c>
      <c r="G70">
        <f>Order_Details_PBI[[#This Row],[Profit]]/Order_Details_PBI[[#This Row],[Amount]]</f>
        <v>-0.10819672131147541</v>
      </c>
      <c r="H70" t="str">
        <f>IF(Order_Details_PBI[[#This Row],[Profit Margine]]&lt;0," Loss",IF(Order_Details_PBI[[#This Row],[Profit Margine]]=0," Break-Even","Profit"))</f>
        <v xml:space="preserve"> Loss</v>
      </c>
      <c r="I70" s="2">
        <v>43245</v>
      </c>
      <c r="J70" t="s">
        <v>639</v>
      </c>
      <c r="K70" t="str">
        <f>UPPER(List_of_Orders_PBI[[#This Row],[CustomerName]])</f>
        <v>PIYALI</v>
      </c>
      <c r="L70" t="s">
        <v>577</v>
      </c>
      <c r="M70" t="s">
        <v>578</v>
      </c>
      <c r="N70" t="str">
        <f>TEXT(List_of_Orders_PBI[[#This Row],[Order Date]],"DD-MMM-YYYY")</f>
        <v>25-May-2018</v>
      </c>
      <c r="O70" t="str">
        <f>_xlfn.CONCAT(List_of_Orders_PBI[[#This Row],[City]] &amp;" - "&amp; List_of_Orders_PBI[[#This Row],[State]])</f>
        <v>Gangtok - Sikkim</v>
      </c>
    </row>
    <row r="71" spans="1:15" x14ac:dyDescent="0.3">
      <c r="A71" t="s">
        <v>95</v>
      </c>
      <c r="B71">
        <v>74</v>
      </c>
      <c r="C71">
        <v>29</v>
      </c>
      <c r="D71">
        <v>3</v>
      </c>
      <c r="E71" t="s">
        <v>9</v>
      </c>
      <c r="F71" t="s">
        <v>10</v>
      </c>
      <c r="G71">
        <f>Order_Details_PBI[[#This Row],[Profit]]/Order_Details_PBI[[#This Row],[Amount]]</f>
        <v>0.39189189189189189</v>
      </c>
      <c r="H71" t="str">
        <f>IF(Order_Details_PBI[[#This Row],[Profit Margine]]&lt;0," Loss",IF(Order_Details_PBI[[#This Row],[Profit Margine]]=0," Break-Even","Profit"))</f>
        <v>Profit</v>
      </c>
      <c r="I71" s="2">
        <v>43245</v>
      </c>
      <c r="J71" t="s">
        <v>640</v>
      </c>
      <c r="K71" t="str">
        <f>UPPER(List_of_Orders_PBI[[#This Row],[CustomerName]])</f>
        <v>CHARIKA</v>
      </c>
      <c r="L71" t="s">
        <v>580</v>
      </c>
      <c r="M71" t="s">
        <v>580</v>
      </c>
      <c r="N71" t="str">
        <f>TEXT(List_of_Orders_PBI[[#This Row],[Order Date]],"DD-MMM-YYYY")</f>
        <v>25-May-2018</v>
      </c>
      <c r="O71" t="str">
        <f>_xlfn.CONCAT(List_of_Orders_PBI[[#This Row],[City]] &amp;" - "&amp; List_of_Orders_PBI[[#This Row],[State]])</f>
        <v>Goa - Goa</v>
      </c>
    </row>
    <row r="72" spans="1:15" x14ac:dyDescent="0.3">
      <c r="A72" t="s">
        <v>96</v>
      </c>
      <c r="B72">
        <v>832</v>
      </c>
      <c r="C72">
        <v>0</v>
      </c>
      <c r="D72">
        <v>3</v>
      </c>
      <c r="E72" t="s">
        <v>9</v>
      </c>
      <c r="F72" t="s">
        <v>18</v>
      </c>
      <c r="G72">
        <f>Order_Details_PBI[[#This Row],[Profit]]/Order_Details_PBI[[#This Row],[Amount]]</f>
        <v>0</v>
      </c>
      <c r="H72" t="str">
        <f>IF(Order_Details_PBI[[#This Row],[Profit Margine]]&lt;0," Loss",IF(Order_Details_PBI[[#This Row],[Profit Margine]]=0," Break-Even","Profit"))</f>
        <v xml:space="preserve"> Break-Even</v>
      </c>
      <c r="I72" s="2">
        <v>43247</v>
      </c>
      <c r="J72" t="s">
        <v>641</v>
      </c>
      <c r="K72" t="str">
        <f>UPPER(List_of_Orders_PBI[[#This Row],[CustomerName]])</f>
        <v>MITALI</v>
      </c>
      <c r="L72" t="s">
        <v>582</v>
      </c>
      <c r="M72" t="s">
        <v>583</v>
      </c>
      <c r="N72" t="str">
        <f>TEXT(List_of_Orders_PBI[[#This Row],[Order Date]],"DD-MMM-YYYY")</f>
        <v>27-May-2018</v>
      </c>
      <c r="O72" t="str">
        <f>_xlfn.CONCAT(List_of_Orders_PBI[[#This Row],[City]] &amp;" - "&amp; List_of_Orders_PBI[[#This Row],[State]])</f>
        <v>Kohima - Nagaland</v>
      </c>
    </row>
    <row r="73" spans="1:15" x14ac:dyDescent="0.3">
      <c r="A73" t="s">
        <v>97</v>
      </c>
      <c r="B73">
        <v>27</v>
      </c>
      <c r="C73">
        <v>-15</v>
      </c>
      <c r="D73">
        <v>1</v>
      </c>
      <c r="E73" t="s">
        <v>9</v>
      </c>
      <c r="F73" t="s">
        <v>10</v>
      </c>
      <c r="G73">
        <f>Order_Details_PBI[[#This Row],[Profit]]/Order_Details_PBI[[#This Row],[Amount]]</f>
        <v>-0.55555555555555558</v>
      </c>
      <c r="H73" t="str">
        <f>IF(Order_Details_PBI[[#This Row],[Profit Margine]]&lt;0," Loss",IF(Order_Details_PBI[[#This Row],[Profit Margine]]=0," Break-Even","Profit"))</f>
        <v xml:space="preserve"> Loss</v>
      </c>
      <c r="I73" s="2">
        <v>43248</v>
      </c>
      <c r="J73" t="s">
        <v>642</v>
      </c>
      <c r="K73" t="str">
        <f>UPPER(List_of_Orders_PBI[[#This Row],[CustomerName]])</f>
        <v>AKANKSHA</v>
      </c>
      <c r="L73" t="s">
        <v>585</v>
      </c>
      <c r="M73" t="s">
        <v>586</v>
      </c>
      <c r="N73" t="str">
        <f>TEXT(List_of_Orders_PBI[[#This Row],[Order Date]],"DD-MMM-YYYY")</f>
        <v>28-May-2018</v>
      </c>
      <c r="O73" t="str">
        <f>_xlfn.CONCAT(List_of_Orders_PBI[[#This Row],[City]] &amp;" - "&amp; List_of_Orders_PBI[[#This Row],[State]])</f>
        <v>Hyderabad - Andhra Pradesh</v>
      </c>
    </row>
    <row r="74" spans="1:15" x14ac:dyDescent="0.3">
      <c r="A74" t="s">
        <v>98</v>
      </c>
      <c r="B74">
        <v>143</v>
      </c>
      <c r="C74">
        <v>-124</v>
      </c>
      <c r="D74">
        <v>5</v>
      </c>
      <c r="E74" t="s">
        <v>9</v>
      </c>
      <c r="F74" t="s">
        <v>16</v>
      </c>
      <c r="G74">
        <f>Order_Details_PBI[[#This Row],[Profit]]/Order_Details_PBI[[#This Row],[Amount]]</f>
        <v>-0.86713286713286708</v>
      </c>
      <c r="H74" t="str">
        <f>IF(Order_Details_PBI[[#This Row],[Profit Margine]]&lt;0," Loss",IF(Order_Details_PBI[[#This Row],[Profit Margine]]=0," Break-Even","Profit"))</f>
        <v xml:space="preserve"> Loss</v>
      </c>
      <c r="I74" s="2">
        <v>43248</v>
      </c>
      <c r="J74" t="s">
        <v>643</v>
      </c>
      <c r="K74" t="str">
        <f>UPPER(List_of_Orders_PBI[[#This Row],[CustomerName]])</f>
        <v>ARSHEEN</v>
      </c>
      <c r="L74" t="s">
        <v>536</v>
      </c>
      <c r="M74" t="s">
        <v>537</v>
      </c>
      <c r="N74" t="str">
        <f>TEXT(List_of_Orders_PBI[[#This Row],[Order Date]],"DD-MMM-YYYY")</f>
        <v>28-May-2018</v>
      </c>
      <c r="O74" t="str">
        <f>_xlfn.CONCAT(List_of_Orders_PBI[[#This Row],[City]] &amp;" - "&amp; List_of_Orders_PBI[[#This Row],[State]])</f>
        <v>Ahmedabad - Gujarat</v>
      </c>
    </row>
    <row r="75" spans="1:15" x14ac:dyDescent="0.3">
      <c r="A75" t="s">
        <v>99</v>
      </c>
      <c r="B75">
        <v>17</v>
      </c>
      <c r="C75">
        <v>-12</v>
      </c>
      <c r="D75">
        <v>5</v>
      </c>
      <c r="E75" t="s">
        <v>9</v>
      </c>
      <c r="F75" t="s">
        <v>53</v>
      </c>
      <c r="G75">
        <f>Order_Details_PBI[[#This Row],[Profit]]/Order_Details_PBI[[#This Row],[Amount]]</f>
        <v>-0.70588235294117652</v>
      </c>
      <c r="H75" t="str">
        <f>IF(Order_Details_PBI[[#This Row],[Profit Margine]]&lt;0," Loss",IF(Order_Details_PBI[[#This Row],[Profit Margine]]=0," Break-Even","Profit"))</f>
        <v xml:space="preserve"> Loss</v>
      </c>
      <c r="I75" s="2">
        <v>43248</v>
      </c>
      <c r="J75" t="s">
        <v>644</v>
      </c>
      <c r="K75" t="str">
        <f>UPPER(List_of_Orders_PBI[[#This Row],[CustomerName]])</f>
        <v>MAHIMA</v>
      </c>
      <c r="L75" t="s">
        <v>539</v>
      </c>
      <c r="M75" t="s">
        <v>540</v>
      </c>
      <c r="N75" t="str">
        <f>TEXT(List_of_Orders_PBI[[#This Row],[Order Date]],"DD-MMM-YYYY")</f>
        <v>28-May-2018</v>
      </c>
      <c r="O75" t="str">
        <f>_xlfn.CONCAT(List_of_Orders_PBI[[#This Row],[City]] &amp;" - "&amp; List_of_Orders_PBI[[#This Row],[State]])</f>
        <v>Pune - Maharashtra</v>
      </c>
    </row>
    <row r="76" spans="1:15" x14ac:dyDescent="0.3">
      <c r="A76" t="s">
        <v>100</v>
      </c>
      <c r="B76">
        <v>929</v>
      </c>
      <c r="C76">
        <v>-93</v>
      </c>
      <c r="D76">
        <v>9</v>
      </c>
      <c r="E76" t="s">
        <v>9</v>
      </c>
      <c r="F76" t="s">
        <v>16</v>
      </c>
      <c r="G76">
        <f>Order_Details_PBI[[#This Row],[Profit]]/Order_Details_PBI[[#This Row],[Amount]]</f>
        <v>-0.10010764262648009</v>
      </c>
      <c r="H76" t="str">
        <f>IF(Order_Details_PBI[[#This Row],[Profit Margine]]&lt;0," Loss",IF(Order_Details_PBI[[#This Row],[Profit Margine]]=0," Break-Even","Profit"))</f>
        <v xml:space="preserve"> Loss</v>
      </c>
      <c r="I76" s="2">
        <v>43251</v>
      </c>
      <c r="J76" t="s">
        <v>645</v>
      </c>
      <c r="K76" t="str">
        <f>UPPER(List_of_Orders_PBI[[#This Row],[CustomerName]])</f>
        <v>SHREYA</v>
      </c>
      <c r="L76" t="s">
        <v>542</v>
      </c>
      <c r="M76" t="s">
        <v>543</v>
      </c>
      <c r="N76" t="str">
        <f>TEXT(List_of_Orders_PBI[[#This Row],[Order Date]],"DD-MMM-YYYY")</f>
        <v>31-May-2018</v>
      </c>
      <c r="O76" t="str">
        <f>_xlfn.CONCAT(List_of_Orders_PBI[[#This Row],[City]] &amp;" - "&amp; List_of_Orders_PBI[[#This Row],[State]])</f>
        <v>Bhopal - Madhya Pradesh</v>
      </c>
    </row>
    <row r="77" spans="1:15" x14ac:dyDescent="0.3">
      <c r="A77" t="s">
        <v>101</v>
      </c>
      <c r="B77">
        <v>342</v>
      </c>
      <c r="C77">
        <v>-103</v>
      </c>
      <c r="D77">
        <v>4</v>
      </c>
      <c r="E77" t="s">
        <v>12</v>
      </c>
      <c r="F77" t="s">
        <v>13</v>
      </c>
      <c r="G77">
        <f>Order_Details_PBI[[#This Row],[Profit]]/Order_Details_PBI[[#This Row],[Amount]]</f>
        <v>-0.30116959064327486</v>
      </c>
      <c r="H77" t="str">
        <f>IF(Order_Details_PBI[[#This Row],[Profit Margine]]&lt;0," Loss",IF(Order_Details_PBI[[#This Row],[Profit Margine]]=0," Break-Even","Profit"))</f>
        <v xml:space="preserve"> Loss</v>
      </c>
      <c r="I77" s="2">
        <v>43252</v>
      </c>
      <c r="J77" t="s">
        <v>646</v>
      </c>
      <c r="K77" t="str">
        <f>UPPER(List_of_Orders_PBI[[#This Row],[CustomerName]])</f>
        <v>CHANDNI</v>
      </c>
      <c r="L77" t="s">
        <v>545</v>
      </c>
      <c r="M77" t="s">
        <v>546</v>
      </c>
      <c r="N77" t="str">
        <f>TEXT(List_of_Orders_PBI[[#This Row],[Order Date]],"DD-MMM-YYYY")</f>
        <v>01-Jun-2018</v>
      </c>
      <c r="O77" t="str">
        <f>_xlfn.CONCAT(List_of_Orders_PBI[[#This Row],[City]] &amp;" - "&amp; List_of_Orders_PBI[[#This Row],[State]])</f>
        <v>Jaipur - Rajasthan</v>
      </c>
    </row>
    <row r="78" spans="1:15" x14ac:dyDescent="0.3">
      <c r="A78" t="s">
        <v>102</v>
      </c>
      <c r="B78">
        <v>20</v>
      </c>
      <c r="C78">
        <v>-2</v>
      </c>
      <c r="D78">
        <v>1</v>
      </c>
      <c r="E78" t="s">
        <v>12</v>
      </c>
      <c r="F78" t="s">
        <v>33</v>
      </c>
      <c r="G78">
        <f>Order_Details_PBI[[#This Row],[Profit]]/Order_Details_PBI[[#This Row],[Amount]]</f>
        <v>-0.1</v>
      </c>
      <c r="H78" t="str">
        <f>IF(Order_Details_PBI[[#This Row],[Profit Margine]]&lt;0," Loss",IF(Order_Details_PBI[[#This Row],[Profit Margine]]=0," Break-Even","Profit"))</f>
        <v xml:space="preserve"> Loss</v>
      </c>
      <c r="I78" s="2">
        <v>43253</v>
      </c>
      <c r="J78" t="s">
        <v>647</v>
      </c>
      <c r="K78" t="str">
        <f>UPPER(List_of_Orders_PBI[[#This Row],[CustomerName]])</f>
        <v>EKTA</v>
      </c>
      <c r="L78" t="s">
        <v>548</v>
      </c>
      <c r="M78" t="s">
        <v>549</v>
      </c>
      <c r="N78" t="str">
        <f>TEXT(List_of_Orders_PBI[[#This Row],[Order Date]],"DD-MMM-YYYY")</f>
        <v>02-Jun-2018</v>
      </c>
      <c r="O78" t="str">
        <f>_xlfn.CONCAT(List_of_Orders_PBI[[#This Row],[City]] &amp;" - "&amp; List_of_Orders_PBI[[#This Row],[State]])</f>
        <v>Kolkata - West Bengal</v>
      </c>
    </row>
    <row r="79" spans="1:15" x14ac:dyDescent="0.3">
      <c r="A79" t="s">
        <v>103</v>
      </c>
      <c r="B79">
        <v>64</v>
      </c>
      <c r="C79">
        <v>-7</v>
      </c>
      <c r="D79">
        <v>3</v>
      </c>
      <c r="E79" t="s">
        <v>9</v>
      </c>
      <c r="F79" t="s">
        <v>16</v>
      </c>
      <c r="G79">
        <f>Order_Details_PBI[[#This Row],[Profit]]/Order_Details_PBI[[#This Row],[Amount]]</f>
        <v>-0.109375</v>
      </c>
      <c r="H79" t="str">
        <f>IF(Order_Details_PBI[[#This Row],[Profit Margine]]&lt;0," Loss",IF(Order_Details_PBI[[#This Row],[Profit Margine]]=0," Break-Even","Profit"))</f>
        <v xml:space="preserve"> Loss</v>
      </c>
      <c r="I79" s="2">
        <v>43254</v>
      </c>
      <c r="J79" t="s">
        <v>648</v>
      </c>
      <c r="K79" t="str">
        <f>UPPER(List_of_Orders_PBI[[#This Row],[CustomerName]])</f>
        <v>BATHINA</v>
      </c>
      <c r="L79" t="s">
        <v>551</v>
      </c>
      <c r="M79" t="s">
        <v>552</v>
      </c>
      <c r="N79" t="str">
        <f>TEXT(List_of_Orders_PBI[[#This Row],[Order Date]],"DD-MMM-YYYY")</f>
        <v>03-Jun-2018</v>
      </c>
      <c r="O79" t="str">
        <f>_xlfn.CONCAT(List_of_Orders_PBI[[#This Row],[City]] &amp;" - "&amp; List_of_Orders_PBI[[#This Row],[State]])</f>
        <v>Bangalore - Karnataka</v>
      </c>
    </row>
    <row r="80" spans="1:15" x14ac:dyDescent="0.3">
      <c r="A80" t="s">
        <v>104</v>
      </c>
      <c r="B80">
        <v>76</v>
      </c>
      <c r="C80">
        <v>-50</v>
      </c>
      <c r="D80">
        <v>1</v>
      </c>
      <c r="E80" t="s">
        <v>9</v>
      </c>
      <c r="F80" t="s">
        <v>16</v>
      </c>
      <c r="G80">
        <f>Order_Details_PBI[[#This Row],[Profit]]/Order_Details_PBI[[#This Row],[Amount]]</f>
        <v>-0.65789473684210531</v>
      </c>
      <c r="H80" t="str">
        <f>IF(Order_Details_PBI[[#This Row],[Profit Margine]]&lt;0," Loss",IF(Order_Details_PBI[[#This Row],[Profit Margine]]=0," Break-Even","Profit"))</f>
        <v xml:space="preserve"> Loss</v>
      </c>
      <c r="I80" s="2">
        <v>43255</v>
      </c>
      <c r="J80" t="s">
        <v>649</v>
      </c>
      <c r="K80" t="str">
        <f>UPPER(List_of_Orders_PBI[[#This Row],[CustomerName]])</f>
        <v>AVNI</v>
      </c>
      <c r="L80" t="s">
        <v>539</v>
      </c>
      <c r="M80" t="s">
        <v>595</v>
      </c>
      <c r="N80" t="str">
        <f>TEXT(List_of_Orders_PBI[[#This Row],[Order Date]],"DD-MMM-YYYY")</f>
        <v>04-Jun-2018</v>
      </c>
      <c r="O80" t="str">
        <f>_xlfn.CONCAT(List_of_Orders_PBI[[#This Row],[City]] &amp;" - "&amp; List_of_Orders_PBI[[#This Row],[State]])</f>
        <v>Mumbai - Maharashtra</v>
      </c>
    </row>
    <row r="81" spans="1:15" x14ac:dyDescent="0.3">
      <c r="A81" t="s">
        <v>105</v>
      </c>
      <c r="B81">
        <v>73</v>
      </c>
      <c r="C81">
        <v>-25</v>
      </c>
      <c r="D81">
        <v>3</v>
      </c>
      <c r="E81" t="s">
        <v>9</v>
      </c>
      <c r="F81" t="s">
        <v>16</v>
      </c>
      <c r="G81">
        <f>Order_Details_PBI[[#This Row],[Profit]]/Order_Details_PBI[[#This Row],[Amount]]</f>
        <v>-0.34246575342465752</v>
      </c>
      <c r="H81" t="str">
        <f>IF(Order_Details_PBI[[#This Row],[Profit Margine]]&lt;0," Loss",IF(Order_Details_PBI[[#This Row],[Profit Margine]]=0," Break-Even","Profit"))</f>
        <v xml:space="preserve"> Loss</v>
      </c>
      <c r="I81" s="2">
        <v>43255</v>
      </c>
      <c r="J81" t="s">
        <v>650</v>
      </c>
      <c r="K81" t="str">
        <f>UPPER(List_of_Orders_PBI[[#This Row],[CustomerName]])</f>
        <v>AAYUSHI</v>
      </c>
      <c r="L81" t="s">
        <v>542</v>
      </c>
      <c r="M81" t="s">
        <v>597</v>
      </c>
      <c r="N81" t="str">
        <f>TEXT(List_of_Orders_PBI[[#This Row],[Order Date]],"DD-MMM-YYYY")</f>
        <v>04-Jun-2018</v>
      </c>
      <c r="O81" t="str">
        <f>_xlfn.CONCAT(List_of_Orders_PBI[[#This Row],[City]] &amp;" - "&amp; List_of_Orders_PBI[[#This Row],[State]])</f>
        <v>Indore - Madhya Pradesh</v>
      </c>
    </row>
    <row r="82" spans="1:15" x14ac:dyDescent="0.3">
      <c r="A82" t="s">
        <v>106</v>
      </c>
      <c r="B82">
        <v>68</v>
      </c>
      <c r="C82">
        <v>-27</v>
      </c>
      <c r="D82">
        <v>3</v>
      </c>
      <c r="E82" t="s">
        <v>12</v>
      </c>
      <c r="F82" t="s">
        <v>33</v>
      </c>
      <c r="G82">
        <f>Order_Details_PBI[[#This Row],[Profit]]/Order_Details_PBI[[#This Row],[Amount]]</f>
        <v>-0.39705882352941174</v>
      </c>
      <c r="H82" t="str">
        <f>IF(Order_Details_PBI[[#This Row],[Profit Margine]]&lt;0," Loss",IF(Order_Details_PBI[[#This Row],[Profit Margine]]=0," Break-Even","Profit"))</f>
        <v xml:space="preserve"> Loss</v>
      </c>
      <c r="I82" s="2">
        <v>43255</v>
      </c>
      <c r="J82" t="s">
        <v>651</v>
      </c>
      <c r="K82" t="str">
        <f>UPPER(List_of_Orders_PBI[[#This Row],[CustomerName]])</f>
        <v>BHAWNA</v>
      </c>
      <c r="L82" t="s">
        <v>542</v>
      </c>
      <c r="M82" t="s">
        <v>597</v>
      </c>
      <c r="N82" t="str">
        <f>TEXT(List_of_Orders_PBI[[#This Row],[Order Date]],"DD-MMM-YYYY")</f>
        <v>04-Jun-2018</v>
      </c>
      <c r="O82" t="str">
        <f>_xlfn.CONCAT(List_of_Orders_PBI[[#This Row],[City]] &amp;" - "&amp; List_of_Orders_PBI[[#This Row],[State]])</f>
        <v>Indore - Madhya Pradesh</v>
      </c>
    </row>
    <row r="83" spans="1:15" x14ac:dyDescent="0.3">
      <c r="A83" t="s">
        <v>107</v>
      </c>
      <c r="B83">
        <v>545</v>
      </c>
      <c r="C83">
        <v>-73</v>
      </c>
      <c r="D83">
        <v>11</v>
      </c>
      <c r="E83" t="s">
        <v>12</v>
      </c>
      <c r="F83" t="s">
        <v>15</v>
      </c>
      <c r="G83">
        <f>Order_Details_PBI[[#This Row],[Profit]]/Order_Details_PBI[[#This Row],[Amount]]</f>
        <v>-0.13394495412844037</v>
      </c>
      <c r="H83" t="str">
        <f>IF(Order_Details_PBI[[#This Row],[Profit Margine]]&lt;0," Loss",IF(Order_Details_PBI[[#This Row],[Profit Margine]]=0," Break-Even","Profit"))</f>
        <v xml:space="preserve"> Loss</v>
      </c>
      <c r="I83" s="2">
        <v>43258</v>
      </c>
      <c r="J83" t="s">
        <v>652</v>
      </c>
      <c r="K83" t="str">
        <f>UPPER(List_of_Orders_PBI[[#This Row],[CustomerName]])</f>
        <v>KRUTIKA</v>
      </c>
      <c r="L83" t="s">
        <v>563</v>
      </c>
      <c r="M83" t="s">
        <v>564</v>
      </c>
      <c r="N83" t="str">
        <f>TEXT(List_of_Orders_PBI[[#This Row],[Order Date]],"DD-MMM-YYYY")</f>
        <v>07-Jun-2018</v>
      </c>
      <c r="O83" t="str">
        <f>_xlfn.CONCAT(List_of_Orders_PBI[[#This Row],[City]] &amp;" - "&amp; List_of_Orders_PBI[[#This Row],[State]])</f>
        <v>Patna - Bihar</v>
      </c>
    </row>
    <row r="84" spans="1:15" x14ac:dyDescent="0.3">
      <c r="A84" t="s">
        <v>108</v>
      </c>
      <c r="B84">
        <v>433</v>
      </c>
      <c r="C84">
        <v>26</v>
      </c>
      <c r="D84">
        <v>3</v>
      </c>
      <c r="E84" t="s">
        <v>12</v>
      </c>
      <c r="F84" t="s">
        <v>30</v>
      </c>
      <c r="G84">
        <f>Order_Details_PBI[[#This Row],[Profit]]/Order_Details_PBI[[#This Row],[Amount]]</f>
        <v>6.0046189376443418E-2</v>
      </c>
      <c r="H84" t="str">
        <f>IF(Order_Details_PBI[[#This Row],[Profit Margine]]&lt;0," Loss",IF(Order_Details_PBI[[#This Row],[Profit Margine]]=0," Break-Even","Profit"))</f>
        <v>Profit</v>
      </c>
      <c r="I84" s="2">
        <v>43259</v>
      </c>
      <c r="J84" t="s">
        <v>645</v>
      </c>
      <c r="K84" t="str">
        <f>UPPER(List_of_Orders_PBI[[#This Row],[CustomerName]])</f>
        <v>SHREYA</v>
      </c>
      <c r="L84" t="s">
        <v>566</v>
      </c>
      <c r="M84" t="s">
        <v>567</v>
      </c>
      <c r="N84" t="str">
        <f>TEXT(List_of_Orders_PBI[[#This Row],[Order Date]],"DD-MMM-YYYY")</f>
        <v>08-Jun-2018</v>
      </c>
      <c r="O84" t="str">
        <f>_xlfn.CONCAT(List_of_Orders_PBI[[#This Row],[City]] &amp;" - "&amp; List_of_Orders_PBI[[#This Row],[State]])</f>
        <v xml:space="preserve">Thiruvananthapuram - Kerala </v>
      </c>
    </row>
    <row r="85" spans="1:15" x14ac:dyDescent="0.3">
      <c r="A85" t="s">
        <v>109</v>
      </c>
      <c r="B85">
        <v>134</v>
      </c>
      <c r="C85">
        <v>42</v>
      </c>
      <c r="D85">
        <v>2</v>
      </c>
      <c r="E85" t="s">
        <v>7</v>
      </c>
      <c r="F85" t="s">
        <v>19</v>
      </c>
      <c r="G85">
        <f>Order_Details_PBI[[#This Row],[Profit]]/Order_Details_PBI[[#This Row],[Amount]]</f>
        <v>0.31343283582089554</v>
      </c>
      <c r="H85" t="str">
        <f>IF(Order_Details_PBI[[#This Row],[Profit Margine]]&lt;0," Loss",IF(Order_Details_PBI[[#This Row],[Profit Margine]]=0," Break-Even","Profit"))</f>
        <v>Profit</v>
      </c>
      <c r="I85" s="2">
        <v>43260</v>
      </c>
      <c r="J85" t="s">
        <v>653</v>
      </c>
      <c r="K85" t="str">
        <f>UPPER(List_of_Orders_PBI[[#This Row],[CustomerName]])</f>
        <v>SAMIKSHA</v>
      </c>
      <c r="L85" t="s">
        <v>539</v>
      </c>
      <c r="M85" t="s">
        <v>595</v>
      </c>
      <c r="N85" t="str">
        <f>TEXT(List_of_Orders_PBI[[#This Row],[Order Date]],"DD-MMM-YYYY")</f>
        <v>09-Jun-2018</v>
      </c>
      <c r="O85" t="str">
        <f>_xlfn.CONCAT(List_of_Orders_PBI[[#This Row],[City]] &amp;" - "&amp; List_of_Orders_PBI[[#This Row],[State]])</f>
        <v>Mumbai - Maharashtra</v>
      </c>
    </row>
    <row r="86" spans="1:15" x14ac:dyDescent="0.3">
      <c r="A86" t="s">
        <v>110</v>
      </c>
      <c r="B86">
        <v>51</v>
      </c>
      <c r="C86">
        <v>7</v>
      </c>
      <c r="D86">
        <v>2</v>
      </c>
      <c r="E86" t="s">
        <v>7</v>
      </c>
      <c r="F86" t="s">
        <v>34</v>
      </c>
      <c r="G86">
        <f>Order_Details_PBI[[#This Row],[Profit]]/Order_Details_PBI[[#This Row],[Amount]]</f>
        <v>0.13725490196078433</v>
      </c>
      <c r="H86" t="str">
        <f>IF(Order_Details_PBI[[#This Row],[Profit Margine]]&lt;0," Loss",IF(Order_Details_PBI[[#This Row],[Profit Margine]]=0," Break-Even","Profit"))</f>
        <v>Profit</v>
      </c>
      <c r="I86" s="2">
        <v>43261</v>
      </c>
      <c r="J86" t="s">
        <v>654</v>
      </c>
      <c r="K86" t="str">
        <f>UPPER(List_of_Orders_PBI[[#This Row],[CustomerName]])</f>
        <v>SHEETAL</v>
      </c>
      <c r="L86" t="s">
        <v>542</v>
      </c>
      <c r="M86" t="s">
        <v>597</v>
      </c>
      <c r="N86" t="str">
        <f>TEXT(List_of_Orders_PBI[[#This Row],[Order Date]],"DD-MMM-YYYY")</f>
        <v>10-Jun-2018</v>
      </c>
      <c r="O86" t="str">
        <f>_xlfn.CONCAT(List_of_Orders_PBI[[#This Row],[City]] &amp;" - "&amp; List_of_Orders_PBI[[#This Row],[State]])</f>
        <v>Indore - Madhya Pradesh</v>
      </c>
    </row>
    <row r="87" spans="1:15" x14ac:dyDescent="0.3">
      <c r="A87" t="s">
        <v>111</v>
      </c>
      <c r="B87">
        <v>381</v>
      </c>
      <c r="C87">
        <v>-13</v>
      </c>
      <c r="D87">
        <v>2</v>
      </c>
      <c r="E87" t="s">
        <v>9</v>
      </c>
      <c r="F87" t="s">
        <v>16</v>
      </c>
      <c r="G87">
        <f>Order_Details_PBI[[#This Row],[Profit]]/Order_Details_PBI[[#This Row],[Amount]]</f>
        <v>-3.4120734908136482E-2</v>
      </c>
      <c r="H87" t="str">
        <f>IF(Order_Details_PBI[[#This Row],[Profit Margine]]&lt;0," Loss",IF(Order_Details_PBI[[#This Row],[Profit Margine]]=0," Break-Even","Profit"))</f>
        <v xml:space="preserve"> Loss</v>
      </c>
      <c r="I87" s="2">
        <v>43262</v>
      </c>
      <c r="J87" t="s">
        <v>598</v>
      </c>
      <c r="K87" t="str">
        <f>UPPER(List_of_Orders_PBI[[#This Row],[CustomerName]])</f>
        <v>POOJA</v>
      </c>
      <c r="L87" t="s">
        <v>574</v>
      </c>
      <c r="M87" t="s">
        <v>575</v>
      </c>
      <c r="N87" t="str">
        <f>TEXT(List_of_Orders_PBI[[#This Row],[Order Date]],"DD-MMM-YYYY")</f>
        <v>11-Jun-2018</v>
      </c>
      <c r="O87" t="str">
        <f>_xlfn.CONCAT(List_of_Orders_PBI[[#This Row],[City]] &amp;" - "&amp; List_of_Orders_PBI[[#This Row],[State]])</f>
        <v>Simla - Himachal Pradesh</v>
      </c>
    </row>
    <row r="88" spans="1:15" x14ac:dyDescent="0.3">
      <c r="A88" t="s">
        <v>112</v>
      </c>
      <c r="B88">
        <v>17</v>
      </c>
      <c r="C88">
        <v>6</v>
      </c>
      <c r="D88">
        <v>1</v>
      </c>
      <c r="E88" t="s">
        <v>9</v>
      </c>
      <c r="F88" t="s">
        <v>10</v>
      </c>
      <c r="G88">
        <f>Order_Details_PBI[[#This Row],[Profit]]/Order_Details_PBI[[#This Row],[Amount]]</f>
        <v>0.35294117647058826</v>
      </c>
      <c r="H88" t="str">
        <f>IF(Order_Details_PBI[[#This Row],[Profit Margine]]&lt;0," Loss",IF(Order_Details_PBI[[#This Row],[Profit Margine]]=0," Break-Even","Profit"))</f>
        <v>Profit</v>
      </c>
      <c r="I88" s="2">
        <v>43262</v>
      </c>
      <c r="J88" t="s">
        <v>655</v>
      </c>
      <c r="K88" t="str">
        <f>UPPER(List_of_Orders_PBI[[#This Row],[CustomerName]])</f>
        <v>SANJNA</v>
      </c>
      <c r="L88" t="s">
        <v>539</v>
      </c>
      <c r="M88" t="s">
        <v>595</v>
      </c>
      <c r="N88" t="str">
        <f>TEXT(List_of_Orders_PBI[[#This Row],[Order Date]],"DD-MMM-YYYY")</f>
        <v>11-Jun-2018</v>
      </c>
      <c r="O88" t="str">
        <f>_xlfn.CONCAT(List_of_Orders_PBI[[#This Row],[City]] &amp;" - "&amp; List_of_Orders_PBI[[#This Row],[State]])</f>
        <v>Mumbai - Maharashtra</v>
      </c>
    </row>
    <row r="89" spans="1:15" x14ac:dyDescent="0.3">
      <c r="A89" t="s">
        <v>113</v>
      </c>
      <c r="B89">
        <v>352</v>
      </c>
      <c r="C89">
        <v>-345</v>
      </c>
      <c r="D89">
        <v>5</v>
      </c>
      <c r="E89" t="s">
        <v>9</v>
      </c>
      <c r="F89" t="s">
        <v>16</v>
      </c>
      <c r="G89">
        <f>Order_Details_PBI[[#This Row],[Profit]]/Order_Details_PBI[[#This Row],[Amount]]</f>
        <v>-0.98011363636363635</v>
      </c>
      <c r="H89" t="str">
        <f>IF(Order_Details_PBI[[#This Row],[Profit Margine]]&lt;0," Loss",IF(Order_Details_PBI[[#This Row],[Profit Margine]]=0," Break-Even","Profit"))</f>
        <v xml:space="preserve"> Loss</v>
      </c>
      <c r="I89" s="2">
        <v>43262</v>
      </c>
      <c r="J89" t="s">
        <v>656</v>
      </c>
      <c r="K89" t="str">
        <f>UPPER(List_of_Orders_PBI[[#This Row],[CustomerName]])</f>
        <v>SWETHA</v>
      </c>
      <c r="L89" t="s">
        <v>542</v>
      </c>
      <c r="M89" t="s">
        <v>597</v>
      </c>
      <c r="N89" t="str">
        <f>TEXT(List_of_Orders_PBI[[#This Row],[Order Date]],"DD-MMM-YYYY")</f>
        <v>11-Jun-2018</v>
      </c>
      <c r="O89" t="str">
        <f>_xlfn.CONCAT(List_of_Orders_PBI[[#This Row],[City]] &amp;" - "&amp; List_of_Orders_PBI[[#This Row],[State]])</f>
        <v>Indore - Madhya Pradesh</v>
      </c>
    </row>
    <row r="90" spans="1:15" x14ac:dyDescent="0.3">
      <c r="A90" t="s">
        <v>114</v>
      </c>
      <c r="B90">
        <v>469</v>
      </c>
      <c r="C90">
        <v>-459</v>
      </c>
      <c r="D90">
        <v>3</v>
      </c>
      <c r="E90" t="s">
        <v>12</v>
      </c>
      <c r="F90" t="s">
        <v>13</v>
      </c>
      <c r="G90">
        <f>Order_Details_PBI[[#This Row],[Profit]]/Order_Details_PBI[[#This Row],[Amount]]</f>
        <v>-0.97867803837953093</v>
      </c>
      <c r="H90" t="str">
        <f>IF(Order_Details_PBI[[#This Row],[Profit Margine]]&lt;0," Loss",IF(Order_Details_PBI[[#This Row],[Profit Margine]]=0," Break-Even","Profit"))</f>
        <v xml:space="preserve"> Loss</v>
      </c>
      <c r="I90" s="2">
        <v>43265</v>
      </c>
      <c r="J90" t="s">
        <v>657</v>
      </c>
      <c r="K90" t="str">
        <f>UPPER(List_of_Orders_PBI[[#This Row],[CustomerName]])</f>
        <v>BHAGGYASREE</v>
      </c>
      <c r="L90" t="s">
        <v>539</v>
      </c>
      <c r="M90" t="s">
        <v>595</v>
      </c>
      <c r="N90" t="str">
        <f>TEXT(List_of_Orders_PBI[[#This Row],[Order Date]],"DD-MMM-YYYY")</f>
        <v>14-Jun-2018</v>
      </c>
      <c r="O90" t="str">
        <f>_xlfn.CONCAT(List_of_Orders_PBI[[#This Row],[City]] &amp;" - "&amp; List_of_Orders_PBI[[#This Row],[State]])</f>
        <v>Mumbai - Maharashtra</v>
      </c>
    </row>
    <row r="91" spans="1:15" x14ac:dyDescent="0.3">
      <c r="A91" t="s">
        <v>115</v>
      </c>
      <c r="B91">
        <v>31</v>
      </c>
      <c r="C91">
        <v>10</v>
      </c>
      <c r="D91">
        <v>3</v>
      </c>
      <c r="E91" t="s">
        <v>9</v>
      </c>
      <c r="F91" t="s">
        <v>53</v>
      </c>
      <c r="G91">
        <f>Order_Details_PBI[[#This Row],[Profit]]/Order_Details_PBI[[#This Row],[Amount]]</f>
        <v>0.32258064516129031</v>
      </c>
      <c r="H91" t="str">
        <f>IF(Order_Details_PBI[[#This Row],[Profit Margine]]&lt;0," Loss",IF(Order_Details_PBI[[#This Row],[Profit Margine]]=0," Break-Even","Profit"))</f>
        <v>Profit</v>
      </c>
      <c r="I91" s="2">
        <v>43266</v>
      </c>
      <c r="J91" t="s">
        <v>658</v>
      </c>
      <c r="K91" t="str">
        <f>UPPER(List_of_Orders_PBI[[#This Row],[CustomerName]])</f>
        <v>GUNJAN</v>
      </c>
      <c r="L91" t="s">
        <v>542</v>
      </c>
      <c r="M91" t="s">
        <v>597</v>
      </c>
      <c r="N91" t="str">
        <f>TEXT(List_of_Orders_PBI[[#This Row],[Order Date]],"DD-MMM-YYYY")</f>
        <v>15-Jun-2018</v>
      </c>
      <c r="O91" t="str">
        <f>_xlfn.CONCAT(List_of_Orders_PBI[[#This Row],[City]] &amp;" - "&amp; List_of_Orders_PBI[[#This Row],[State]])</f>
        <v>Indore - Madhya Pradesh</v>
      </c>
    </row>
    <row r="92" spans="1:15" x14ac:dyDescent="0.3">
      <c r="A92" t="s">
        <v>116</v>
      </c>
      <c r="B92">
        <v>714</v>
      </c>
      <c r="C92">
        <v>56</v>
      </c>
      <c r="D92">
        <v>4</v>
      </c>
      <c r="E92" t="s">
        <v>9</v>
      </c>
      <c r="F92" t="s">
        <v>16</v>
      </c>
      <c r="G92">
        <f>Order_Details_PBI[[#This Row],[Profit]]/Order_Details_PBI[[#This Row],[Amount]]</f>
        <v>7.8431372549019607E-2</v>
      </c>
      <c r="H92" t="str">
        <f>IF(Order_Details_PBI[[#This Row],[Profit Margine]]&lt;0," Loss",IF(Order_Details_PBI[[#This Row],[Profit Margine]]=0," Break-Even","Profit"))</f>
        <v>Profit</v>
      </c>
      <c r="I92" s="2">
        <v>43267</v>
      </c>
      <c r="J92" t="s">
        <v>659</v>
      </c>
      <c r="K92" t="str">
        <f>UPPER(List_of_Orders_PBI[[#This Row],[CustomerName]])</f>
        <v>AKANCHA</v>
      </c>
      <c r="L92" t="s">
        <v>539</v>
      </c>
      <c r="M92" t="s">
        <v>595</v>
      </c>
      <c r="N92" t="str">
        <f>TEXT(List_of_Orders_PBI[[#This Row],[Order Date]],"DD-MMM-YYYY")</f>
        <v>16-Jun-2018</v>
      </c>
      <c r="O92" t="str">
        <f>_xlfn.CONCAT(List_of_Orders_PBI[[#This Row],[City]] &amp;" - "&amp; List_of_Orders_PBI[[#This Row],[State]])</f>
        <v>Mumbai - Maharashtra</v>
      </c>
    </row>
    <row r="93" spans="1:15" x14ac:dyDescent="0.3">
      <c r="A93" t="s">
        <v>117</v>
      </c>
      <c r="B93">
        <v>141</v>
      </c>
      <c r="C93">
        <v>28</v>
      </c>
      <c r="D93">
        <v>7</v>
      </c>
      <c r="E93" t="s">
        <v>7</v>
      </c>
      <c r="F93" t="s">
        <v>34</v>
      </c>
      <c r="G93">
        <f>Order_Details_PBI[[#This Row],[Profit]]/Order_Details_PBI[[#This Row],[Amount]]</f>
        <v>0.19858156028368795</v>
      </c>
      <c r="H93" t="str">
        <f>IF(Order_Details_PBI[[#This Row],[Profit Margine]]&lt;0," Loss",IF(Order_Details_PBI[[#This Row],[Profit Margine]]=0," Break-Even","Profit"))</f>
        <v>Profit</v>
      </c>
      <c r="I93" s="2">
        <v>43268</v>
      </c>
      <c r="J93" t="s">
        <v>660</v>
      </c>
      <c r="K93" t="str">
        <f>UPPER(List_of_Orders_PBI[[#This Row],[CustomerName]])</f>
        <v>RASHMI</v>
      </c>
      <c r="L93" t="s">
        <v>542</v>
      </c>
      <c r="M93" t="s">
        <v>597</v>
      </c>
      <c r="N93" t="str">
        <f>TEXT(List_of_Orders_PBI[[#This Row],[Order Date]],"DD-MMM-YYYY")</f>
        <v>17-Jun-2018</v>
      </c>
      <c r="O93" t="str">
        <f>_xlfn.CONCAT(List_of_Orders_PBI[[#This Row],[City]] &amp;" - "&amp; List_of_Orders_PBI[[#This Row],[State]])</f>
        <v>Indore - Madhya Pradesh</v>
      </c>
    </row>
    <row r="94" spans="1:15" x14ac:dyDescent="0.3">
      <c r="A94" t="s">
        <v>118</v>
      </c>
      <c r="B94">
        <v>76</v>
      </c>
      <c r="C94">
        <v>-72</v>
      </c>
      <c r="D94">
        <v>9</v>
      </c>
      <c r="E94" t="s">
        <v>9</v>
      </c>
      <c r="F94" t="s">
        <v>11</v>
      </c>
      <c r="G94">
        <f>Order_Details_PBI[[#This Row],[Profit]]/Order_Details_PBI[[#This Row],[Amount]]</f>
        <v>-0.94736842105263153</v>
      </c>
      <c r="H94" t="str">
        <f>IF(Order_Details_PBI[[#This Row],[Profit Margine]]&lt;0," Loss",IF(Order_Details_PBI[[#This Row],[Profit Margine]]=0," Break-Even","Profit"))</f>
        <v xml:space="preserve"> Loss</v>
      </c>
      <c r="I94" s="2">
        <v>43269</v>
      </c>
      <c r="J94" t="s">
        <v>661</v>
      </c>
      <c r="K94" t="str">
        <f>UPPER(List_of_Orders_PBI[[#This Row],[CustomerName]])</f>
        <v>PARNA</v>
      </c>
      <c r="L94" t="s">
        <v>542</v>
      </c>
      <c r="M94" t="s">
        <v>543</v>
      </c>
      <c r="N94" t="str">
        <f>TEXT(List_of_Orders_PBI[[#This Row],[Order Date]],"DD-MMM-YYYY")</f>
        <v>18-Jun-2018</v>
      </c>
      <c r="O94" t="str">
        <f>_xlfn.CONCAT(List_of_Orders_PBI[[#This Row],[City]] &amp;" - "&amp; List_of_Orders_PBI[[#This Row],[State]])</f>
        <v>Bhopal - Madhya Pradesh</v>
      </c>
    </row>
    <row r="95" spans="1:15" x14ac:dyDescent="0.3">
      <c r="A95" t="s">
        <v>119</v>
      </c>
      <c r="B95">
        <v>167</v>
      </c>
      <c r="C95">
        <v>43</v>
      </c>
      <c r="D95">
        <v>7</v>
      </c>
      <c r="E95" t="s">
        <v>9</v>
      </c>
      <c r="F95" t="s">
        <v>22</v>
      </c>
      <c r="G95">
        <f>Order_Details_PBI[[#This Row],[Profit]]/Order_Details_PBI[[#This Row],[Amount]]</f>
        <v>0.25748502994011974</v>
      </c>
      <c r="H95" t="str">
        <f>IF(Order_Details_PBI[[#This Row],[Profit Margine]]&lt;0," Loss",IF(Order_Details_PBI[[#This Row],[Profit Margine]]=0," Break-Even","Profit"))</f>
        <v>Profit</v>
      </c>
      <c r="I95" s="2">
        <v>43269</v>
      </c>
      <c r="J95" t="s">
        <v>662</v>
      </c>
      <c r="K95" t="str">
        <f>UPPER(List_of_Orders_PBI[[#This Row],[CustomerName]])</f>
        <v>SUBHASMITA</v>
      </c>
      <c r="L95" t="s">
        <v>545</v>
      </c>
      <c r="M95" t="s">
        <v>546</v>
      </c>
      <c r="N95" t="str">
        <f>TEXT(List_of_Orders_PBI[[#This Row],[Order Date]],"DD-MMM-YYYY")</f>
        <v>18-Jun-2018</v>
      </c>
      <c r="O95" t="str">
        <f>_xlfn.CONCAT(List_of_Orders_PBI[[#This Row],[City]] &amp;" - "&amp; List_of_Orders_PBI[[#This Row],[State]])</f>
        <v>Jaipur - Rajasthan</v>
      </c>
    </row>
    <row r="96" spans="1:15" x14ac:dyDescent="0.3">
      <c r="A96" t="s">
        <v>120</v>
      </c>
      <c r="B96">
        <v>171</v>
      </c>
      <c r="C96">
        <v>14</v>
      </c>
      <c r="D96">
        <v>9</v>
      </c>
      <c r="E96" t="s">
        <v>9</v>
      </c>
      <c r="F96" t="s">
        <v>25</v>
      </c>
      <c r="G96">
        <f>Order_Details_PBI[[#This Row],[Profit]]/Order_Details_PBI[[#This Row],[Amount]]</f>
        <v>8.1871345029239762E-2</v>
      </c>
      <c r="H96" t="str">
        <f>IF(Order_Details_PBI[[#This Row],[Profit Margine]]&lt;0," Loss",IF(Order_Details_PBI[[#This Row],[Profit Margine]]=0," Break-Even","Profit"))</f>
        <v>Profit</v>
      </c>
      <c r="I96" s="2">
        <v>43269</v>
      </c>
      <c r="J96" t="s">
        <v>663</v>
      </c>
      <c r="K96" t="str">
        <f>UPPER(List_of_Orders_PBI[[#This Row],[CustomerName]])</f>
        <v>SUHANI</v>
      </c>
      <c r="L96" t="s">
        <v>548</v>
      </c>
      <c r="M96" t="s">
        <v>549</v>
      </c>
      <c r="N96" t="str">
        <f>TEXT(List_of_Orders_PBI[[#This Row],[Order Date]],"DD-MMM-YYYY")</f>
        <v>18-Jun-2018</v>
      </c>
      <c r="O96" t="str">
        <f>_xlfn.CONCAT(List_of_Orders_PBI[[#This Row],[City]] &amp;" - "&amp; List_of_Orders_PBI[[#This Row],[State]])</f>
        <v>Kolkata - West Bengal</v>
      </c>
    </row>
    <row r="97" spans="1:15" x14ac:dyDescent="0.3">
      <c r="A97" t="s">
        <v>121</v>
      </c>
      <c r="B97">
        <v>117</v>
      </c>
      <c r="C97">
        <v>-6</v>
      </c>
      <c r="D97">
        <v>3</v>
      </c>
      <c r="E97" t="s">
        <v>12</v>
      </c>
      <c r="F97" t="s">
        <v>15</v>
      </c>
      <c r="G97">
        <f>Order_Details_PBI[[#This Row],[Profit]]/Order_Details_PBI[[#This Row],[Amount]]</f>
        <v>-5.128205128205128E-2</v>
      </c>
      <c r="H97" t="str">
        <f>IF(Order_Details_PBI[[#This Row],[Profit Margine]]&lt;0," Loss",IF(Order_Details_PBI[[#This Row],[Profit Margine]]=0," Break-Even","Profit"))</f>
        <v xml:space="preserve"> Loss</v>
      </c>
      <c r="I97" s="2">
        <v>43272</v>
      </c>
      <c r="J97" t="s">
        <v>664</v>
      </c>
      <c r="K97" t="str">
        <f>UPPER(List_of_Orders_PBI[[#This Row],[CustomerName]])</f>
        <v>NOOPUR</v>
      </c>
      <c r="L97" t="s">
        <v>551</v>
      </c>
      <c r="M97" t="s">
        <v>552</v>
      </c>
      <c r="N97" t="str">
        <f>TEXT(List_of_Orders_PBI[[#This Row],[Order Date]],"DD-MMM-YYYY")</f>
        <v>21-Jun-2018</v>
      </c>
      <c r="O97" t="str">
        <f>_xlfn.CONCAT(List_of_Orders_PBI[[#This Row],[City]] &amp;" - "&amp; List_of_Orders_PBI[[#This Row],[State]])</f>
        <v>Bangalore - Karnataka</v>
      </c>
    </row>
    <row r="98" spans="1:15" x14ac:dyDescent="0.3">
      <c r="A98" t="s">
        <v>122</v>
      </c>
      <c r="B98">
        <v>114</v>
      </c>
      <c r="C98">
        <v>8</v>
      </c>
      <c r="D98">
        <v>3</v>
      </c>
      <c r="E98" t="s">
        <v>12</v>
      </c>
      <c r="F98" t="s">
        <v>33</v>
      </c>
      <c r="G98">
        <f>Order_Details_PBI[[#This Row],[Profit]]/Order_Details_PBI[[#This Row],[Amount]]</f>
        <v>7.0175438596491224E-2</v>
      </c>
      <c r="H98" t="str">
        <f>IF(Order_Details_PBI[[#This Row],[Profit Margine]]&lt;0," Loss",IF(Order_Details_PBI[[#This Row],[Profit Margine]]=0," Break-Even","Profit"))</f>
        <v>Profit</v>
      </c>
      <c r="I98" s="2">
        <v>43273</v>
      </c>
      <c r="J98" t="s">
        <v>665</v>
      </c>
      <c r="K98" t="str">
        <f>UPPER(List_of_Orders_PBI[[#This Row],[CustomerName]])</f>
        <v>VIJAY</v>
      </c>
      <c r="L98" t="s">
        <v>554</v>
      </c>
      <c r="M98" t="s">
        <v>555</v>
      </c>
      <c r="N98" t="str">
        <f>TEXT(List_of_Orders_PBI[[#This Row],[Order Date]],"DD-MMM-YYYY")</f>
        <v>22-Jun-2018</v>
      </c>
      <c r="O98" t="str">
        <f>_xlfn.CONCAT(List_of_Orders_PBI[[#This Row],[City]] &amp;" - "&amp; List_of_Orders_PBI[[#This Row],[State]])</f>
        <v>Kashmir - Jammu and Kashmir</v>
      </c>
    </row>
    <row r="99" spans="1:15" x14ac:dyDescent="0.3">
      <c r="A99" t="s">
        <v>123</v>
      </c>
      <c r="B99">
        <v>87</v>
      </c>
      <c r="C99">
        <v>-83</v>
      </c>
      <c r="D99">
        <v>5</v>
      </c>
      <c r="E99" t="s">
        <v>9</v>
      </c>
      <c r="F99" t="s">
        <v>20</v>
      </c>
      <c r="G99">
        <f>Order_Details_PBI[[#This Row],[Profit]]/Order_Details_PBI[[#This Row],[Amount]]</f>
        <v>-0.95402298850574707</v>
      </c>
      <c r="H99" t="str">
        <f>IF(Order_Details_PBI[[#This Row],[Profit Margine]]&lt;0," Loss",IF(Order_Details_PBI[[#This Row],[Profit Margine]]=0," Break-Even","Profit"))</f>
        <v xml:space="preserve"> Loss</v>
      </c>
      <c r="I99" s="2">
        <v>43274</v>
      </c>
      <c r="J99" t="s">
        <v>666</v>
      </c>
      <c r="K99" t="str">
        <f>UPPER(List_of_Orders_PBI[[#This Row],[CustomerName]])</f>
        <v>AMISHA</v>
      </c>
      <c r="L99" t="s">
        <v>557</v>
      </c>
      <c r="M99" t="s">
        <v>558</v>
      </c>
      <c r="N99" t="str">
        <f>TEXT(List_of_Orders_PBI[[#This Row],[Order Date]],"DD-MMM-YYYY")</f>
        <v>23-Jun-2018</v>
      </c>
      <c r="O99" t="str">
        <f>_xlfn.CONCAT(List_of_Orders_PBI[[#This Row],[City]] &amp;" - "&amp; List_of_Orders_PBI[[#This Row],[State]])</f>
        <v>Chennai - Tamil Nadu</v>
      </c>
    </row>
    <row r="100" spans="1:15" x14ac:dyDescent="0.3">
      <c r="A100" t="s">
        <v>124</v>
      </c>
      <c r="B100">
        <v>20</v>
      </c>
      <c r="C100">
        <v>-22</v>
      </c>
      <c r="D100">
        <v>1</v>
      </c>
      <c r="E100" t="s">
        <v>7</v>
      </c>
      <c r="F100" t="s">
        <v>34</v>
      </c>
      <c r="G100">
        <f>Order_Details_PBI[[#This Row],[Profit]]/Order_Details_PBI[[#This Row],[Amount]]</f>
        <v>-1.1000000000000001</v>
      </c>
      <c r="H100" t="str">
        <f>IF(Order_Details_PBI[[#This Row],[Profit Margine]]&lt;0," Loss",IF(Order_Details_PBI[[#This Row],[Profit Margine]]=0," Break-Even","Profit"))</f>
        <v xml:space="preserve"> Loss</v>
      </c>
      <c r="I100" s="2">
        <v>43275</v>
      </c>
      <c r="J100" t="s">
        <v>667</v>
      </c>
      <c r="K100" t="str">
        <f>UPPER(List_of_Orders_PBI[[#This Row],[CustomerName]])</f>
        <v>KRITIKA</v>
      </c>
      <c r="L100" t="s">
        <v>560</v>
      </c>
      <c r="M100" t="s">
        <v>561</v>
      </c>
      <c r="N100" t="str">
        <f>TEXT(List_of_Orders_PBI[[#This Row],[Order Date]],"DD-MMM-YYYY")</f>
        <v>24-Jun-2018</v>
      </c>
      <c r="O100" t="str">
        <f>_xlfn.CONCAT(List_of_Orders_PBI[[#This Row],[City]] &amp;" - "&amp; List_of_Orders_PBI[[#This Row],[State]])</f>
        <v>Lucknow - Uttar Pradesh</v>
      </c>
    </row>
    <row r="101" spans="1:15" x14ac:dyDescent="0.3">
      <c r="A101" t="s">
        <v>125</v>
      </c>
      <c r="B101">
        <v>129</v>
      </c>
      <c r="C101">
        <v>-75</v>
      </c>
      <c r="D101">
        <v>5</v>
      </c>
      <c r="E101" t="s">
        <v>9</v>
      </c>
      <c r="F101" t="s">
        <v>25</v>
      </c>
      <c r="G101">
        <f>Order_Details_PBI[[#This Row],[Profit]]/Order_Details_PBI[[#This Row],[Amount]]</f>
        <v>-0.58139534883720934</v>
      </c>
      <c r="H101" t="str">
        <f>IF(Order_Details_PBI[[#This Row],[Profit Margine]]&lt;0," Loss",IF(Order_Details_PBI[[#This Row],[Profit Margine]]=0," Break-Even","Profit"))</f>
        <v xml:space="preserve"> Loss</v>
      </c>
      <c r="I101" s="2">
        <v>43276</v>
      </c>
      <c r="J101" t="s">
        <v>668</v>
      </c>
      <c r="K101" t="str">
        <f>UPPER(List_of_Orders_PBI[[#This Row],[CustomerName]])</f>
        <v>SHUBHI</v>
      </c>
      <c r="L101" t="s">
        <v>539</v>
      </c>
      <c r="M101" t="s">
        <v>595</v>
      </c>
      <c r="N101" t="str">
        <f>TEXT(List_of_Orders_PBI[[#This Row],[Order Date]],"DD-MMM-YYYY")</f>
        <v>25-Jun-2018</v>
      </c>
      <c r="O101" t="str">
        <f>_xlfn.CONCAT(List_of_Orders_PBI[[#This Row],[City]] &amp;" - "&amp; List_of_Orders_PBI[[#This Row],[State]])</f>
        <v>Mumbai - Maharashtra</v>
      </c>
    </row>
    <row r="102" spans="1:15" x14ac:dyDescent="0.3">
      <c r="A102" t="s">
        <v>126</v>
      </c>
      <c r="B102">
        <v>10</v>
      </c>
      <c r="C102">
        <v>-8</v>
      </c>
      <c r="D102">
        <v>2</v>
      </c>
      <c r="E102" t="s">
        <v>9</v>
      </c>
      <c r="F102" t="s">
        <v>53</v>
      </c>
      <c r="G102">
        <f>Order_Details_PBI[[#This Row],[Profit]]/Order_Details_PBI[[#This Row],[Amount]]</f>
        <v>-0.8</v>
      </c>
      <c r="H102" t="str">
        <f>IF(Order_Details_PBI[[#This Row],[Profit Margine]]&lt;0," Loss",IF(Order_Details_PBI[[#This Row],[Profit Margine]]=0," Break-Even","Profit"))</f>
        <v xml:space="preserve"> Loss</v>
      </c>
      <c r="I102" s="2">
        <v>43277</v>
      </c>
      <c r="J102" t="s">
        <v>669</v>
      </c>
      <c r="K102" t="str">
        <f>UPPER(List_of_Orders_PBI[[#This Row],[CustomerName]])</f>
        <v>MAITHILEE</v>
      </c>
      <c r="L102" t="s">
        <v>542</v>
      </c>
      <c r="M102" t="s">
        <v>597</v>
      </c>
      <c r="N102" t="str">
        <f>TEXT(List_of_Orders_PBI[[#This Row],[Order Date]],"DD-MMM-YYYY")</f>
        <v>26-Jun-2018</v>
      </c>
      <c r="O102" t="str">
        <f>_xlfn.CONCAT(List_of_Orders_PBI[[#This Row],[City]] &amp;" - "&amp; List_of_Orders_PBI[[#This Row],[State]])</f>
        <v>Indore - Madhya Pradesh</v>
      </c>
    </row>
    <row r="103" spans="1:15" x14ac:dyDescent="0.3">
      <c r="A103" t="s">
        <v>127</v>
      </c>
      <c r="B103">
        <v>75</v>
      </c>
      <c r="C103">
        <v>0</v>
      </c>
      <c r="D103">
        <v>3</v>
      </c>
      <c r="E103" t="s">
        <v>9</v>
      </c>
      <c r="F103" t="s">
        <v>25</v>
      </c>
      <c r="G103">
        <f>Order_Details_PBI[[#This Row],[Profit]]/Order_Details_PBI[[#This Row],[Amount]]</f>
        <v>0</v>
      </c>
      <c r="H103" t="str">
        <f>IF(Order_Details_PBI[[#This Row],[Profit Margine]]&lt;0," Loss",IF(Order_Details_PBI[[#This Row],[Profit Margine]]=0," Break-Even","Profit"))</f>
        <v xml:space="preserve"> Break-Even</v>
      </c>
      <c r="I103" s="2">
        <v>43278</v>
      </c>
      <c r="J103" t="s">
        <v>670</v>
      </c>
      <c r="K103" t="str">
        <f>UPPER(List_of_Orders_PBI[[#This Row],[CustomerName]])</f>
        <v>SHAILY</v>
      </c>
      <c r="L103" t="s">
        <v>539</v>
      </c>
      <c r="M103" t="s">
        <v>595</v>
      </c>
      <c r="N103" t="str">
        <f>TEXT(List_of_Orders_PBI[[#This Row],[Order Date]],"DD-MMM-YYYY")</f>
        <v>27-Jun-2018</v>
      </c>
      <c r="O103" t="str">
        <f>_xlfn.CONCAT(List_of_Orders_PBI[[#This Row],[City]] &amp;" - "&amp; List_of_Orders_PBI[[#This Row],[State]])</f>
        <v>Mumbai - Maharashtra</v>
      </c>
    </row>
    <row r="104" spans="1:15" x14ac:dyDescent="0.3">
      <c r="A104" t="s">
        <v>128</v>
      </c>
      <c r="B104">
        <v>42</v>
      </c>
      <c r="C104">
        <v>-23</v>
      </c>
      <c r="D104">
        <v>2</v>
      </c>
      <c r="E104" t="s">
        <v>7</v>
      </c>
      <c r="F104" t="s">
        <v>34</v>
      </c>
      <c r="G104">
        <f>Order_Details_PBI[[#This Row],[Profit]]/Order_Details_PBI[[#This Row],[Amount]]</f>
        <v>-0.54761904761904767</v>
      </c>
      <c r="H104" t="str">
        <f>IF(Order_Details_PBI[[#This Row],[Profit Margine]]&lt;0," Loss",IF(Order_Details_PBI[[#This Row],[Profit Margine]]=0," Break-Even","Profit"))</f>
        <v xml:space="preserve"> Loss</v>
      </c>
      <c r="I104" s="2">
        <v>43279</v>
      </c>
      <c r="J104" t="s">
        <v>647</v>
      </c>
      <c r="K104" t="str">
        <f>UPPER(List_of_Orders_PBI[[#This Row],[CustomerName]])</f>
        <v>EKTA</v>
      </c>
      <c r="L104" t="s">
        <v>542</v>
      </c>
      <c r="M104" t="s">
        <v>597</v>
      </c>
      <c r="N104" t="str">
        <f>TEXT(List_of_Orders_PBI[[#This Row],[Order Date]],"DD-MMM-YYYY")</f>
        <v>28-Jun-2018</v>
      </c>
      <c r="O104" t="str">
        <f>_xlfn.CONCAT(List_of_Orders_PBI[[#This Row],[City]] &amp;" - "&amp; List_of_Orders_PBI[[#This Row],[State]])</f>
        <v>Indore - Madhya Pradesh</v>
      </c>
    </row>
    <row r="105" spans="1:15" x14ac:dyDescent="0.3">
      <c r="A105" t="s">
        <v>129</v>
      </c>
      <c r="B105">
        <v>126</v>
      </c>
      <c r="C105">
        <v>-63</v>
      </c>
      <c r="D105">
        <v>3</v>
      </c>
      <c r="E105" t="s">
        <v>12</v>
      </c>
      <c r="F105" t="s">
        <v>33</v>
      </c>
      <c r="G105">
        <f>Order_Details_PBI[[#This Row],[Profit]]/Order_Details_PBI[[#This Row],[Amount]]</f>
        <v>-0.5</v>
      </c>
      <c r="H105" t="str">
        <f>IF(Order_Details_PBI[[#This Row],[Profit Margine]]&lt;0," Loss",IF(Order_Details_PBI[[#This Row],[Profit Margine]]=0," Break-Even","Profit"))</f>
        <v xml:space="preserve"> Loss</v>
      </c>
      <c r="I105" s="2">
        <v>43280</v>
      </c>
      <c r="J105" t="s">
        <v>671</v>
      </c>
      <c r="K105" t="str">
        <f>UPPER(List_of_Orders_PBI[[#This Row],[CustomerName]])</f>
        <v>RIYA</v>
      </c>
      <c r="L105" t="s">
        <v>539</v>
      </c>
      <c r="M105" t="s">
        <v>595</v>
      </c>
      <c r="N105" t="str">
        <f>TEXT(List_of_Orders_PBI[[#This Row],[Order Date]],"DD-MMM-YYYY")</f>
        <v>29-Jun-2018</v>
      </c>
      <c r="O105" t="str">
        <f>_xlfn.CONCAT(List_of_Orders_PBI[[#This Row],[City]] &amp;" - "&amp; List_of_Orders_PBI[[#This Row],[State]])</f>
        <v>Mumbai - Maharashtra</v>
      </c>
    </row>
    <row r="106" spans="1:15" x14ac:dyDescent="0.3">
      <c r="A106" t="s">
        <v>130</v>
      </c>
      <c r="B106">
        <v>46</v>
      </c>
      <c r="C106">
        <v>0</v>
      </c>
      <c r="D106">
        <v>2</v>
      </c>
      <c r="E106" t="s">
        <v>12</v>
      </c>
      <c r="F106" t="s">
        <v>13</v>
      </c>
      <c r="G106">
        <f>Order_Details_PBI[[#This Row],[Profit]]/Order_Details_PBI[[#This Row],[Amount]]</f>
        <v>0</v>
      </c>
      <c r="H106" t="str">
        <f>IF(Order_Details_PBI[[#This Row],[Profit Margine]]&lt;0," Loss",IF(Order_Details_PBI[[#This Row],[Profit Margine]]=0," Break-Even","Profit"))</f>
        <v xml:space="preserve"> Break-Even</v>
      </c>
      <c r="I106" s="2">
        <v>43281</v>
      </c>
      <c r="J106" t="s">
        <v>672</v>
      </c>
      <c r="K106" t="str">
        <f>UPPER(List_of_Orders_PBI[[#This Row],[CustomerName]])</f>
        <v>SHWETA</v>
      </c>
      <c r="L106" t="s">
        <v>542</v>
      </c>
      <c r="M106" t="s">
        <v>597</v>
      </c>
      <c r="N106" t="str">
        <f>TEXT(List_of_Orders_PBI[[#This Row],[Order Date]],"DD-MMM-YYYY")</f>
        <v>30-Jun-2018</v>
      </c>
      <c r="O106" t="str">
        <f>_xlfn.CONCAT(List_of_Orders_PBI[[#This Row],[City]] &amp;" - "&amp; List_of_Orders_PBI[[#This Row],[State]])</f>
        <v>Indore - Madhya Pradesh</v>
      </c>
    </row>
    <row r="107" spans="1:15" x14ac:dyDescent="0.3">
      <c r="A107" t="s">
        <v>131</v>
      </c>
      <c r="B107">
        <v>31</v>
      </c>
      <c r="C107">
        <v>-11</v>
      </c>
      <c r="D107">
        <v>4</v>
      </c>
      <c r="E107" t="s">
        <v>9</v>
      </c>
      <c r="F107" t="s">
        <v>10</v>
      </c>
      <c r="G107">
        <f>Order_Details_PBI[[#This Row],[Profit]]/Order_Details_PBI[[#This Row],[Amount]]</f>
        <v>-0.35483870967741937</v>
      </c>
      <c r="H107" t="str">
        <f>IF(Order_Details_PBI[[#This Row],[Profit Margine]]&lt;0," Loss",IF(Order_Details_PBI[[#This Row],[Profit Margine]]=0," Break-Even","Profit"))</f>
        <v xml:space="preserve"> Loss</v>
      </c>
      <c r="I107" s="2">
        <v>43282</v>
      </c>
      <c r="J107" t="s">
        <v>673</v>
      </c>
      <c r="K107" t="str">
        <f>UPPER(List_of_Orders_PBI[[#This Row],[CustomerName]])</f>
        <v>SWETLANA</v>
      </c>
      <c r="L107" t="s">
        <v>580</v>
      </c>
      <c r="M107" t="s">
        <v>580</v>
      </c>
      <c r="N107" t="str">
        <f>TEXT(List_of_Orders_PBI[[#This Row],[Order Date]],"DD-MMM-YYYY")</f>
        <v>01-Jul-2018</v>
      </c>
      <c r="O107" t="str">
        <f>_xlfn.CONCAT(List_of_Orders_PBI[[#This Row],[City]] &amp;" - "&amp; List_of_Orders_PBI[[#This Row],[State]])</f>
        <v>Goa - Goa</v>
      </c>
    </row>
    <row r="108" spans="1:15" x14ac:dyDescent="0.3">
      <c r="A108" t="s">
        <v>132</v>
      </c>
      <c r="B108">
        <v>8</v>
      </c>
      <c r="C108">
        <v>-6</v>
      </c>
      <c r="D108">
        <v>1</v>
      </c>
      <c r="E108" t="s">
        <v>9</v>
      </c>
      <c r="F108" t="s">
        <v>10</v>
      </c>
      <c r="G108">
        <f>Order_Details_PBI[[#This Row],[Profit]]/Order_Details_PBI[[#This Row],[Amount]]</f>
        <v>-0.75</v>
      </c>
      <c r="H108" t="str">
        <f>IF(Order_Details_PBI[[#This Row],[Profit Margine]]&lt;0," Loss",IF(Order_Details_PBI[[#This Row],[Profit Margine]]=0," Break-Even","Profit"))</f>
        <v xml:space="preserve"> Loss</v>
      </c>
      <c r="I108" s="2">
        <v>43282</v>
      </c>
      <c r="J108" t="s">
        <v>674</v>
      </c>
      <c r="K108" t="str">
        <f>UPPER(List_of_Orders_PBI[[#This Row],[CustomerName]])</f>
        <v>SHIVANI</v>
      </c>
      <c r="L108" t="s">
        <v>539</v>
      </c>
      <c r="M108" t="s">
        <v>595</v>
      </c>
      <c r="N108" t="str">
        <f>TEXT(List_of_Orders_PBI[[#This Row],[Order Date]],"DD-MMM-YYYY")</f>
        <v>01-Jul-2018</v>
      </c>
      <c r="O108" t="str">
        <f>_xlfn.CONCAT(List_of_Orders_PBI[[#This Row],[City]] &amp;" - "&amp; List_of_Orders_PBI[[#This Row],[State]])</f>
        <v>Mumbai - Maharashtra</v>
      </c>
    </row>
    <row r="109" spans="1:15" x14ac:dyDescent="0.3">
      <c r="A109" t="s">
        <v>133</v>
      </c>
      <c r="B109">
        <v>191</v>
      </c>
      <c r="C109">
        <v>13</v>
      </c>
      <c r="D109">
        <v>8</v>
      </c>
      <c r="E109" t="s">
        <v>7</v>
      </c>
      <c r="F109" t="s">
        <v>34</v>
      </c>
      <c r="G109">
        <f>Order_Details_PBI[[#This Row],[Profit]]/Order_Details_PBI[[#This Row],[Amount]]</f>
        <v>6.8062827225130892E-2</v>
      </c>
      <c r="H109" t="str">
        <f>IF(Order_Details_PBI[[#This Row],[Profit Margine]]&lt;0," Loss",IF(Order_Details_PBI[[#This Row],[Profit Margine]]=0," Break-Even","Profit"))</f>
        <v>Profit</v>
      </c>
      <c r="I109" s="2">
        <v>43282</v>
      </c>
      <c r="J109" t="s">
        <v>675</v>
      </c>
      <c r="K109" t="str">
        <f>UPPER(List_of_Orders_PBI[[#This Row],[CustomerName]])</f>
        <v>KISHWAR</v>
      </c>
      <c r="L109" t="s">
        <v>542</v>
      </c>
      <c r="M109" t="s">
        <v>597</v>
      </c>
      <c r="N109" t="str">
        <f>TEXT(List_of_Orders_PBI[[#This Row],[Order Date]],"DD-MMM-YYYY")</f>
        <v>01-Jul-2018</v>
      </c>
      <c r="O109" t="str">
        <f>_xlfn.CONCAT(List_of_Orders_PBI[[#This Row],[City]] &amp;" - "&amp; List_of_Orders_PBI[[#This Row],[State]])</f>
        <v>Indore - Madhya Pradesh</v>
      </c>
    </row>
    <row r="110" spans="1:15" x14ac:dyDescent="0.3">
      <c r="A110" t="s">
        <v>134</v>
      </c>
      <c r="B110">
        <v>33</v>
      </c>
      <c r="C110">
        <v>-12</v>
      </c>
      <c r="D110">
        <v>7</v>
      </c>
      <c r="E110" t="s">
        <v>9</v>
      </c>
      <c r="F110" t="s">
        <v>16</v>
      </c>
      <c r="G110">
        <f>Order_Details_PBI[[#This Row],[Profit]]/Order_Details_PBI[[#This Row],[Amount]]</f>
        <v>-0.36363636363636365</v>
      </c>
      <c r="H110" t="str">
        <f>IF(Order_Details_PBI[[#This Row],[Profit Margine]]&lt;0," Loss",IF(Order_Details_PBI[[#This Row],[Profit Margine]]=0," Break-Even","Profit"))</f>
        <v xml:space="preserve"> Loss</v>
      </c>
      <c r="I110" s="2">
        <v>43282</v>
      </c>
      <c r="J110" t="s">
        <v>676</v>
      </c>
      <c r="K110" t="str">
        <f>UPPER(List_of_Orders_PBI[[#This Row],[CustomerName]])</f>
        <v>AAKANKSHA</v>
      </c>
      <c r="L110" t="s">
        <v>542</v>
      </c>
      <c r="M110" t="s">
        <v>597</v>
      </c>
      <c r="N110" t="str">
        <f>TEXT(List_of_Orders_PBI[[#This Row],[Order Date]],"DD-MMM-YYYY")</f>
        <v>01-Jul-2018</v>
      </c>
      <c r="O110" t="str">
        <f>_xlfn.CONCAT(List_of_Orders_PBI[[#This Row],[City]] &amp;" - "&amp; List_of_Orders_PBI[[#This Row],[State]])</f>
        <v>Indore - Madhya Pradesh</v>
      </c>
    </row>
    <row r="111" spans="1:15" x14ac:dyDescent="0.3">
      <c r="A111" t="s">
        <v>135</v>
      </c>
      <c r="B111">
        <v>216</v>
      </c>
      <c r="C111">
        <v>-38</v>
      </c>
      <c r="D111">
        <v>6</v>
      </c>
      <c r="E111" t="s">
        <v>7</v>
      </c>
      <c r="F111" t="s">
        <v>34</v>
      </c>
      <c r="G111">
        <f>Order_Details_PBI[[#This Row],[Profit]]/Order_Details_PBI[[#This Row],[Amount]]</f>
        <v>-0.17592592592592593</v>
      </c>
      <c r="H111" t="str">
        <f>IF(Order_Details_PBI[[#This Row],[Profit Margine]]&lt;0," Loss",IF(Order_Details_PBI[[#This Row],[Profit Margine]]=0," Break-Even","Profit"))</f>
        <v xml:space="preserve"> Loss</v>
      </c>
      <c r="I111" s="2">
        <v>43286</v>
      </c>
      <c r="J111" t="s">
        <v>677</v>
      </c>
      <c r="K111" t="str">
        <f>UPPER(List_of_Orders_PBI[[#This Row],[CustomerName]])</f>
        <v>MEGHA</v>
      </c>
      <c r="L111" t="s">
        <v>539</v>
      </c>
      <c r="M111" t="s">
        <v>540</v>
      </c>
      <c r="N111" t="str">
        <f>TEXT(List_of_Orders_PBI[[#This Row],[Order Date]],"DD-MMM-YYYY")</f>
        <v>05-Jul-2018</v>
      </c>
      <c r="O111" t="str">
        <f>_xlfn.CONCAT(List_of_Orders_PBI[[#This Row],[City]] &amp;" - "&amp; List_of_Orders_PBI[[#This Row],[State]])</f>
        <v>Pune - Maharashtra</v>
      </c>
    </row>
    <row r="112" spans="1:15" x14ac:dyDescent="0.3">
      <c r="A112" t="s">
        <v>136</v>
      </c>
      <c r="B112">
        <v>100</v>
      </c>
      <c r="C112">
        <v>-58</v>
      </c>
      <c r="D112">
        <v>4</v>
      </c>
      <c r="E112" t="s">
        <v>9</v>
      </c>
      <c r="F112" t="s">
        <v>11</v>
      </c>
      <c r="G112">
        <f>Order_Details_PBI[[#This Row],[Profit]]/Order_Details_PBI[[#This Row],[Amount]]</f>
        <v>-0.57999999999999996</v>
      </c>
      <c r="H112" t="str">
        <f>IF(Order_Details_PBI[[#This Row],[Profit Margine]]&lt;0," Loss",IF(Order_Details_PBI[[#This Row],[Profit Margine]]=0," Break-Even","Profit"))</f>
        <v xml:space="preserve"> Loss</v>
      </c>
      <c r="I112" s="2">
        <v>43287</v>
      </c>
      <c r="J112" t="s">
        <v>678</v>
      </c>
      <c r="K112" t="str">
        <f>UPPER(List_of_Orders_PBI[[#This Row],[CustomerName]])</f>
        <v>SAKSHI</v>
      </c>
      <c r="L112" t="s">
        <v>542</v>
      </c>
      <c r="M112" t="s">
        <v>543</v>
      </c>
      <c r="N112" t="str">
        <f>TEXT(List_of_Orders_PBI[[#This Row],[Order Date]],"DD-MMM-YYYY")</f>
        <v>06-Jul-2018</v>
      </c>
      <c r="O112" t="str">
        <f>_xlfn.CONCAT(List_of_Orders_PBI[[#This Row],[City]] &amp;" - "&amp; List_of_Orders_PBI[[#This Row],[State]])</f>
        <v>Bhopal - Madhya Pradesh</v>
      </c>
    </row>
    <row r="113" spans="1:15" x14ac:dyDescent="0.3">
      <c r="A113" t="s">
        <v>137</v>
      </c>
      <c r="B113">
        <v>193</v>
      </c>
      <c r="C113">
        <v>-275</v>
      </c>
      <c r="D113">
        <v>3</v>
      </c>
      <c r="E113" t="s">
        <v>12</v>
      </c>
      <c r="F113" t="s">
        <v>15</v>
      </c>
      <c r="G113">
        <f>Order_Details_PBI[[#This Row],[Profit]]/Order_Details_PBI[[#This Row],[Amount]]</f>
        <v>-1.4248704663212435</v>
      </c>
      <c r="H113" t="str">
        <f>IF(Order_Details_PBI[[#This Row],[Profit Margine]]&lt;0," Loss",IF(Order_Details_PBI[[#This Row],[Profit Margine]]=0," Break-Even","Profit"))</f>
        <v xml:space="preserve"> Loss</v>
      </c>
      <c r="I113" s="2">
        <v>43288</v>
      </c>
      <c r="J113" t="s">
        <v>679</v>
      </c>
      <c r="K113" t="str">
        <f>UPPER(List_of_Orders_PBI[[#This Row],[CustomerName]])</f>
        <v>ADHVAITA</v>
      </c>
      <c r="L113" t="s">
        <v>545</v>
      </c>
      <c r="M113" t="s">
        <v>546</v>
      </c>
      <c r="N113" t="str">
        <f>TEXT(List_of_Orders_PBI[[#This Row],[Order Date]],"DD-MMM-YYYY")</f>
        <v>07-Jul-2018</v>
      </c>
      <c r="O113" t="str">
        <f>_xlfn.CONCAT(List_of_Orders_PBI[[#This Row],[City]] &amp;" - "&amp; List_of_Orders_PBI[[#This Row],[State]])</f>
        <v>Jaipur - Rajasthan</v>
      </c>
    </row>
    <row r="114" spans="1:15" x14ac:dyDescent="0.3">
      <c r="A114" t="s">
        <v>138</v>
      </c>
      <c r="B114">
        <v>158</v>
      </c>
      <c r="C114">
        <v>-63</v>
      </c>
      <c r="D114">
        <v>4</v>
      </c>
      <c r="E114" t="s">
        <v>7</v>
      </c>
      <c r="F114" t="s">
        <v>19</v>
      </c>
      <c r="G114">
        <f>Order_Details_PBI[[#This Row],[Profit]]/Order_Details_PBI[[#This Row],[Amount]]</f>
        <v>-0.39873417721518989</v>
      </c>
      <c r="H114" t="str">
        <f>IF(Order_Details_PBI[[#This Row],[Profit Margine]]&lt;0," Loss",IF(Order_Details_PBI[[#This Row],[Profit Margine]]=0," Break-Even","Profit"))</f>
        <v xml:space="preserve"> Loss</v>
      </c>
      <c r="I114" s="2">
        <v>43289</v>
      </c>
      <c r="J114" t="s">
        <v>680</v>
      </c>
      <c r="K114" t="str">
        <f>UPPER(List_of_Orders_PBI[[#This Row],[CustomerName]])</f>
        <v>RAKSHA</v>
      </c>
      <c r="L114" t="s">
        <v>548</v>
      </c>
      <c r="M114" t="s">
        <v>549</v>
      </c>
      <c r="N114" t="str">
        <f>TEXT(List_of_Orders_PBI[[#This Row],[Order Date]],"DD-MMM-YYYY")</f>
        <v>08-Jul-2018</v>
      </c>
      <c r="O114" t="str">
        <f>_xlfn.CONCAT(List_of_Orders_PBI[[#This Row],[City]] &amp;" - "&amp; List_of_Orders_PBI[[#This Row],[State]])</f>
        <v>Kolkata - West Bengal</v>
      </c>
    </row>
    <row r="115" spans="1:15" x14ac:dyDescent="0.3">
      <c r="A115" t="s">
        <v>139</v>
      </c>
      <c r="B115">
        <v>11</v>
      </c>
      <c r="C115">
        <v>-5</v>
      </c>
      <c r="D115">
        <v>2</v>
      </c>
      <c r="E115" t="s">
        <v>9</v>
      </c>
      <c r="F115" t="s">
        <v>11</v>
      </c>
      <c r="G115">
        <f>Order_Details_PBI[[#This Row],[Profit]]/Order_Details_PBI[[#This Row],[Amount]]</f>
        <v>-0.45454545454545453</v>
      </c>
      <c r="H115" t="str">
        <f>IF(Order_Details_PBI[[#This Row],[Profit Margine]]&lt;0," Loss",IF(Order_Details_PBI[[#This Row],[Profit Margine]]=0," Break-Even","Profit"))</f>
        <v xml:space="preserve"> Loss</v>
      </c>
      <c r="I115" s="2">
        <v>43290</v>
      </c>
      <c r="J115" t="s">
        <v>681</v>
      </c>
      <c r="K115" t="str">
        <f>UPPER(List_of_Orders_PBI[[#This Row],[CustomerName]])</f>
        <v>STUTI</v>
      </c>
      <c r="L115" t="s">
        <v>551</v>
      </c>
      <c r="M115" t="s">
        <v>552</v>
      </c>
      <c r="N115" t="str">
        <f>TEXT(List_of_Orders_PBI[[#This Row],[Order Date]],"DD-MMM-YYYY")</f>
        <v>09-Jul-2018</v>
      </c>
      <c r="O115" t="str">
        <f>_xlfn.CONCAT(List_of_Orders_PBI[[#This Row],[City]] &amp;" - "&amp; List_of_Orders_PBI[[#This Row],[State]])</f>
        <v>Bangalore - Karnataka</v>
      </c>
    </row>
    <row r="116" spans="1:15" x14ac:dyDescent="0.3">
      <c r="A116" t="s">
        <v>140</v>
      </c>
      <c r="B116">
        <v>416</v>
      </c>
      <c r="C116">
        <v>137</v>
      </c>
      <c r="D116">
        <v>3</v>
      </c>
      <c r="E116" t="s">
        <v>12</v>
      </c>
      <c r="F116" t="s">
        <v>15</v>
      </c>
      <c r="G116">
        <f>Order_Details_PBI[[#This Row],[Profit]]/Order_Details_PBI[[#This Row],[Amount]]</f>
        <v>0.32932692307692307</v>
      </c>
      <c r="H116" t="str">
        <f>IF(Order_Details_PBI[[#This Row],[Profit Margine]]&lt;0," Loss",IF(Order_Details_PBI[[#This Row],[Profit Margine]]=0," Break-Even","Profit"))</f>
        <v>Profit</v>
      </c>
      <c r="I116" s="2">
        <v>43291</v>
      </c>
      <c r="J116" t="s">
        <v>682</v>
      </c>
      <c r="K116" t="str">
        <f>UPPER(List_of_Orders_PBI[[#This Row],[CustomerName]])</f>
        <v>SRISHTI</v>
      </c>
      <c r="L116" t="s">
        <v>554</v>
      </c>
      <c r="M116" t="s">
        <v>555</v>
      </c>
      <c r="N116" t="str">
        <f>TEXT(List_of_Orders_PBI[[#This Row],[Order Date]],"DD-MMM-YYYY")</f>
        <v>10-Jul-2018</v>
      </c>
      <c r="O116" t="str">
        <f>_xlfn.CONCAT(List_of_Orders_PBI[[#This Row],[City]] &amp;" - "&amp; List_of_Orders_PBI[[#This Row],[State]])</f>
        <v>Kashmir - Jammu and Kashmir</v>
      </c>
    </row>
    <row r="117" spans="1:15" x14ac:dyDescent="0.3">
      <c r="A117" t="s">
        <v>141</v>
      </c>
      <c r="B117">
        <v>58</v>
      </c>
      <c r="C117">
        <v>0</v>
      </c>
      <c r="D117">
        <v>4</v>
      </c>
      <c r="E117" t="s">
        <v>9</v>
      </c>
      <c r="F117" t="s">
        <v>16</v>
      </c>
      <c r="G117">
        <f>Order_Details_PBI[[#This Row],[Profit]]/Order_Details_PBI[[#This Row],[Amount]]</f>
        <v>0</v>
      </c>
      <c r="H117" t="str">
        <f>IF(Order_Details_PBI[[#This Row],[Profit Margine]]&lt;0," Loss",IF(Order_Details_PBI[[#This Row],[Profit Margine]]=0," Break-Even","Profit"))</f>
        <v xml:space="preserve"> Break-Even</v>
      </c>
      <c r="I117" s="2">
        <v>43292</v>
      </c>
      <c r="J117" t="s">
        <v>683</v>
      </c>
      <c r="K117" t="str">
        <f>UPPER(List_of_Orders_PBI[[#This Row],[CustomerName]])</f>
        <v>SURABHI</v>
      </c>
      <c r="L117" t="s">
        <v>557</v>
      </c>
      <c r="M117" t="s">
        <v>558</v>
      </c>
      <c r="N117" t="str">
        <f>TEXT(List_of_Orders_PBI[[#This Row],[Order Date]],"DD-MMM-YYYY")</f>
        <v>11-Jul-2018</v>
      </c>
      <c r="O117" t="str">
        <f>_xlfn.CONCAT(List_of_Orders_PBI[[#This Row],[City]] &amp;" - "&amp; List_of_Orders_PBI[[#This Row],[State]])</f>
        <v>Chennai - Tamil Nadu</v>
      </c>
    </row>
    <row r="118" spans="1:15" x14ac:dyDescent="0.3">
      <c r="A118" t="s">
        <v>142</v>
      </c>
      <c r="B118">
        <v>561</v>
      </c>
      <c r="C118">
        <v>212</v>
      </c>
      <c r="D118">
        <v>3</v>
      </c>
      <c r="E118" t="s">
        <v>9</v>
      </c>
      <c r="F118" t="s">
        <v>16</v>
      </c>
      <c r="G118">
        <f>Order_Details_PBI[[#This Row],[Profit]]/Order_Details_PBI[[#This Row],[Amount]]</f>
        <v>0.37789661319073081</v>
      </c>
      <c r="H118" t="str">
        <f>IF(Order_Details_PBI[[#This Row],[Profit Margine]]&lt;0," Loss",IF(Order_Details_PBI[[#This Row],[Profit Margine]]=0," Break-Even","Profit"))</f>
        <v>Profit</v>
      </c>
      <c r="I118" s="2">
        <v>43293</v>
      </c>
      <c r="J118" t="s">
        <v>684</v>
      </c>
      <c r="K118" t="str">
        <f>UPPER(List_of_Orders_PBI[[#This Row],[CustomerName]])</f>
        <v>MANSHUL</v>
      </c>
      <c r="L118" t="s">
        <v>560</v>
      </c>
      <c r="M118" t="s">
        <v>561</v>
      </c>
      <c r="N118" t="str">
        <f>TEXT(List_of_Orders_PBI[[#This Row],[Order Date]],"DD-MMM-YYYY")</f>
        <v>12-Jul-2018</v>
      </c>
      <c r="O118" t="str">
        <f>_xlfn.CONCAT(List_of_Orders_PBI[[#This Row],[City]] &amp;" - "&amp; List_of_Orders_PBI[[#This Row],[State]])</f>
        <v>Lucknow - Uttar Pradesh</v>
      </c>
    </row>
    <row r="119" spans="1:15" x14ac:dyDescent="0.3">
      <c r="A119" t="s">
        <v>143</v>
      </c>
      <c r="B119">
        <v>371</v>
      </c>
      <c r="C119">
        <v>115</v>
      </c>
      <c r="D119">
        <v>1</v>
      </c>
      <c r="E119" t="s">
        <v>7</v>
      </c>
      <c r="F119" t="s">
        <v>8</v>
      </c>
      <c r="G119">
        <f>Order_Details_PBI[[#This Row],[Profit]]/Order_Details_PBI[[#This Row],[Amount]]</f>
        <v>0.30997304582210244</v>
      </c>
      <c r="H119" t="str">
        <f>IF(Order_Details_PBI[[#This Row],[Profit Margine]]&lt;0," Loss",IF(Order_Details_PBI[[#This Row],[Profit Margine]]=0," Break-Even","Profit"))</f>
        <v>Profit</v>
      </c>
      <c r="I119" s="2">
        <v>43293</v>
      </c>
      <c r="J119" t="s">
        <v>637</v>
      </c>
      <c r="K119" t="str">
        <f>UPPER(List_of_Orders_PBI[[#This Row],[CustomerName]])</f>
        <v>ANJALI</v>
      </c>
      <c r="L119" t="s">
        <v>539</v>
      </c>
      <c r="M119" t="s">
        <v>595</v>
      </c>
      <c r="N119" t="str">
        <f>TEXT(List_of_Orders_PBI[[#This Row],[Order Date]],"DD-MMM-YYYY")</f>
        <v>12-Jul-2018</v>
      </c>
      <c r="O119" t="str">
        <f>_xlfn.CONCAT(List_of_Orders_PBI[[#This Row],[City]] &amp;" - "&amp; List_of_Orders_PBI[[#This Row],[State]])</f>
        <v>Mumbai - Maharashtra</v>
      </c>
    </row>
    <row r="120" spans="1:15" x14ac:dyDescent="0.3">
      <c r="A120" t="s">
        <v>144</v>
      </c>
      <c r="B120">
        <v>29</v>
      </c>
      <c r="C120">
        <v>10</v>
      </c>
      <c r="D120">
        <v>2</v>
      </c>
      <c r="E120" t="s">
        <v>9</v>
      </c>
      <c r="F120" t="s">
        <v>10</v>
      </c>
      <c r="G120">
        <f>Order_Details_PBI[[#This Row],[Profit]]/Order_Details_PBI[[#This Row],[Amount]]</f>
        <v>0.34482758620689657</v>
      </c>
      <c r="H120" t="str">
        <f>IF(Order_Details_PBI[[#This Row],[Profit Margine]]&lt;0," Loss",IF(Order_Details_PBI[[#This Row],[Profit Margine]]=0," Break-Even","Profit"))</f>
        <v>Profit</v>
      </c>
      <c r="I120" s="2">
        <v>43293</v>
      </c>
      <c r="J120" t="s">
        <v>660</v>
      </c>
      <c r="K120" t="str">
        <f>UPPER(List_of_Orders_PBI[[#This Row],[CustomerName]])</f>
        <v>RASHMI</v>
      </c>
      <c r="L120" t="s">
        <v>542</v>
      </c>
      <c r="M120" t="s">
        <v>597</v>
      </c>
      <c r="N120" t="str">
        <f>TEXT(List_of_Orders_PBI[[#This Row],[Order Date]],"DD-MMM-YYYY")</f>
        <v>12-Jul-2018</v>
      </c>
      <c r="O120" t="str">
        <f>_xlfn.CONCAT(List_of_Orders_PBI[[#This Row],[City]] &amp;" - "&amp; List_of_Orders_PBI[[#This Row],[State]])</f>
        <v>Indore - Madhya Pradesh</v>
      </c>
    </row>
    <row r="121" spans="1:15" x14ac:dyDescent="0.3">
      <c r="A121" t="s">
        <v>145</v>
      </c>
      <c r="B121">
        <v>30</v>
      </c>
      <c r="C121">
        <v>-35</v>
      </c>
      <c r="D121">
        <v>1</v>
      </c>
      <c r="E121" t="s">
        <v>7</v>
      </c>
      <c r="F121" t="s">
        <v>19</v>
      </c>
      <c r="G121">
        <f>Order_Details_PBI[[#This Row],[Profit]]/Order_Details_PBI[[#This Row],[Amount]]</f>
        <v>-1.1666666666666667</v>
      </c>
      <c r="H121" t="str">
        <f>IF(Order_Details_PBI[[#This Row],[Profit Margine]]&lt;0," Loss",IF(Order_Details_PBI[[#This Row],[Profit Margine]]=0," Break-Even","Profit"))</f>
        <v xml:space="preserve"> Loss</v>
      </c>
      <c r="I121" s="2">
        <v>43296</v>
      </c>
      <c r="J121" t="s">
        <v>685</v>
      </c>
      <c r="K121" t="str">
        <f>UPPER(List_of_Orders_PBI[[#This Row],[CustomerName]])</f>
        <v>NAMRATA</v>
      </c>
      <c r="L121" t="s">
        <v>569</v>
      </c>
      <c r="M121" t="s">
        <v>570</v>
      </c>
      <c r="N121" t="str">
        <f>TEXT(List_of_Orders_PBI[[#This Row],[Order Date]],"DD-MMM-YYYY")</f>
        <v>15-Jul-2018</v>
      </c>
      <c r="O121" t="str">
        <f>_xlfn.CONCAT(List_of_Orders_PBI[[#This Row],[City]] &amp;" - "&amp; List_of_Orders_PBI[[#This Row],[State]])</f>
        <v>Chandigarh - Punjab</v>
      </c>
    </row>
    <row r="122" spans="1:15" x14ac:dyDescent="0.3">
      <c r="A122" t="s">
        <v>146</v>
      </c>
      <c r="B122">
        <v>29</v>
      </c>
      <c r="C122">
        <v>-18</v>
      </c>
      <c r="D122">
        <v>7</v>
      </c>
      <c r="E122" t="s">
        <v>9</v>
      </c>
      <c r="F122" t="s">
        <v>53</v>
      </c>
      <c r="G122">
        <f>Order_Details_PBI[[#This Row],[Profit]]/Order_Details_PBI[[#This Row],[Amount]]</f>
        <v>-0.62068965517241381</v>
      </c>
      <c r="H122" t="str">
        <f>IF(Order_Details_PBI[[#This Row],[Profit Margine]]&lt;0," Loss",IF(Order_Details_PBI[[#This Row],[Profit Margine]]=0," Break-Even","Profit"))</f>
        <v xml:space="preserve"> Loss</v>
      </c>
      <c r="I122" s="2">
        <v>43297</v>
      </c>
      <c r="J122" t="s">
        <v>686</v>
      </c>
      <c r="K122" t="str">
        <f>UPPER(List_of_Orders_PBI[[#This Row],[CustomerName]])</f>
        <v>ANCHAL</v>
      </c>
      <c r="L122" t="s">
        <v>572</v>
      </c>
      <c r="M122" t="s">
        <v>570</v>
      </c>
      <c r="N122" t="str">
        <f>TEXT(List_of_Orders_PBI[[#This Row],[Order Date]],"DD-MMM-YYYY")</f>
        <v>16-Jul-2018</v>
      </c>
      <c r="O122" t="str">
        <f>_xlfn.CONCAT(List_of_Orders_PBI[[#This Row],[City]] &amp;" - "&amp; List_of_Orders_PBI[[#This Row],[State]])</f>
        <v>Chandigarh - Haryana</v>
      </c>
    </row>
    <row r="123" spans="1:15" x14ac:dyDescent="0.3">
      <c r="A123" t="s">
        <v>147</v>
      </c>
      <c r="B123">
        <v>48</v>
      </c>
      <c r="C123">
        <v>-8</v>
      </c>
      <c r="D123">
        <v>8</v>
      </c>
      <c r="E123" t="s">
        <v>9</v>
      </c>
      <c r="F123" t="s">
        <v>10</v>
      </c>
      <c r="G123">
        <f>Order_Details_PBI[[#This Row],[Profit]]/Order_Details_PBI[[#This Row],[Amount]]</f>
        <v>-0.16666666666666666</v>
      </c>
      <c r="H123" t="str">
        <f>IF(Order_Details_PBI[[#This Row],[Profit Margine]]&lt;0," Loss",IF(Order_Details_PBI[[#This Row],[Profit Margine]]=0," Break-Even","Profit"))</f>
        <v xml:space="preserve"> Loss</v>
      </c>
      <c r="I123" s="2">
        <v>43298</v>
      </c>
      <c r="J123" t="s">
        <v>687</v>
      </c>
      <c r="K123" t="str">
        <f>UPPER(List_of_Orders_PBI[[#This Row],[CustomerName]])</f>
        <v>INDERPREET</v>
      </c>
      <c r="L123" t="s">
        <v>574</v>
      </c>
      <c r="M123" t="s">
        <v>575</v>
      </c>
      <c r="N123" t="str">
        <f>TEXT(List_of_Orders_PBI[[#This Row],[Order Date]],"DD-MMM-YYYY")</f>
        <v>17-Jul-2018</v>
      </c>
      <c r="O123" t="str">
        <f>_xlfn.CONCAT(List_of_Orders_PBI[[#This Row],[City]] &amp;" - "&amp; List_of_Orders_PBI[[#This Row],[State]])</f>
        <v>Simla - Himachal Pradesh</v>
      </c>
    </row>
    <row r="124" spans="1:15" x14ac:dyDescent="0.3">
      <c r="A124" t="s">
        <v>148</v>
      </c>
      <c r="B124">
        <v>26</v>
      </c>
      <c r="C124">
        <v>-24</v>
      </c>
      <c r="D124">
        <v>1</v>
      </c>
      <c r="E124" t="s">
        <v>9</v>
      </c>
      <c r="F124" t="s">
        <v>10</v>
      </c>
      <c r="G124">
        <f>Order_Details_PBI[[#This Row],[Profit]]/Order_Details_PBI[[#This Row],[Amount]]</f>
        <v>-0.92307692307692313</v>
      </c>
      <c r="H124" t="str">
        <f>IF(Order_Details_PBI[[#This Row],[Profit Margine]]&lt;0," Loss",IF(Order_Details_PBI[[#This Row],[Profit Margine]]=0," Break-Even","Profit"))</f>
        <v xml:space="preserve"> Loss</v>
      </c>
      <c r="I124" s="2">
        <v>43299</v>
      </c>
      <c r="J124" t="s">
        <v>688</v>
      </c>
      <c r="K124" t="str">
        <f>UPPER(List_of_Orders_PBI[[#This Row],[CustomerName]])</f>
        <v>WALE</v>
      </c>
      <c r="L124" t="s">
        <v>539</v>
      </c>
      <c r="M124" t="s">
        <v>595</v>
      </c>
      <c r="N124" t="str">
        <f>TEXT(List_of_Orders_PBI[[#This Row],[Order Date]],"DD-MMM-YYYY")</f>
        <v>18-Jul-2018</v>
      </c>
      <c r="O124" t="str">
        <f>_xlfn.CONCAT(List_of_Orders_PBI[[#This Row],[City]] &amp;" - "&amp; List_of_Orders_PBI[[#This Row],[State]])</f>
        <v>Mumbai - Maharashtra</v>
      </c>
    </row>
    <row r="125" spans="1:15" x14ac:dyDescent="0.3">
      <c r="A125" t="s">
        <v>149</v>
      </c>
      <c r="B125">
        <v>168</v>
      </c>
      <c r="C125">
        <v>-51</v>
      </c>
      <c r="D125">
        <v>2</v>
      </c>
      <c r="E125" t="s">
        <v>7</v>
      </c>
      <c r="F125" t="s">
        <v>8</v>
      </c>
      <c r="G125">
        <f>Order_Details_PBI[[#This Row],[Profit]]/Order_Details_PBI[[#This Row],[Amount]]</f>
        <v>-0.30357142857142855</v>
      </c>
      <c r="H125" t="str">
        <f>IF(Order_Details_PBI[[#This Row],[Profit Margine]]&lt;0," Loss",IF(Order_Details_PBI[[#This Row],[Profit Margine]]=0," Break-Even","Profit"))</f>
        <v xml:space="preserve"> Loss</v>
      </c>
      <c r="I125" s="2">
        <v>43300</v>
      </c>
      <c r="J125" t="s">
        <v>654</v>
      </c>
      <c r="K125" t="str">
        <f>UPPER(List_of_Orders_PBI[[#This Row],[CustomerName]])</f>
        <v>SHEETAL</v>
      </c>
      <c r="L125" t="s">
        <v>542</v>
      </c>
      <c r="M125" t="s">
        <v>597</v>
      </c>
      <c r="N125" t="str">
        <f>TEXT(List_of_Orders_PBI[[#This Row],[Order Date]],"DD-MMM-YYYY")</f>
        <v>19-Jul-2018</v>
      </c>
      <c r="O125" t="str">
        <f>_xlfn.CONCAT(List_of_Orders_PBI[[#This Row],[City]] &amp;" - "&amp; List_of_Orders_PBI[[#This Row],[State]])</f>
        <v>Indore - Madhya Pradesh</v>
      </c>
    </row>
    <row r="126" spans="1:15" x14ac:dyDescent="0.3">
      <c r="A126" t="s">
        <v>150</v>
      </c>
      <c r="B126">
        <v>23</v>
      </c>
      <c r="C126">
        <v>-5</v>
      </c>
      <c r="D126">
        <v>7</v>
      </c>
      <c r="E126" t="s">
        <v>9</v>
      </c>
      <c r="F126" t="s">
        <v>11</v>
      </c>
      <c r="G126">
        <f>Order_Details_PBI[[#This Row],[Profit]]/Order_Details_PBI[[#This Row],[Amount]]</f>
        <v>-0.21739130434782608</v>
      </c>
      <c r="H126" t="str">
        <f>IF(Order_Details_PBI[[#This Row],[Profit Margine]]&lt;0," Loss",IF(Order_Details_PBI[[#This Row],[Profit Margine]]=0," Break-Even","Profit"))</f>
        <v xml:space="preserve"> Loss</v>
      </c>
      <c r="I126" s="2">
        <v>43301</v>
      </c>
      <c r="J126" t="s">
        <v>689</v>
      </c>
      <c r="K126" t="str">
        <f>UPPER(List_of_Orders_PBI[[#This Row],[CustomerName]])</f>
        <v>ANISHA</v>
      </c>
      <c r="L126" t="s">
        <v>582</v>
      </c>
      <c r="M126" t="s">
        <v>583</v>
      </c>
      <c r="N126" t="str">
        <f>TEXT(List_of_Orders_PBI[[#This Row],[Order Date]],"DD-MMM-YYYY")</f>
        <v>20-Jul-2018</v>
      </c>
      <c r="O126" t="str">
        <f>_xlfn.CONCAT(List_of_Orders_PBI[[#This Row],[City]] &amp;" - "&amp; List_of_Orders_PBI[[#This Row],[State]])</f>
        <v>Kohima - Nagaland</v>
      </c>
    </row>
    <row r="127" spans="1:15" x14ac:dyDescent="0.3">
      <c r="A127" t="s">
        <v>151</v>
      </c>
      <c r="B127">
        <v>490</v>
      </c>
      <c r="C127">
        <v>-128</v>
      </c>
      <c r="D127">
        <v>8</v>
      </c>
      <c r="E127" t="s">
        <v>7</v>
      </c>
      <c r="F127" t="s">
        <v>8</v>
      </c>
      <c r="G127">
        <f>Order_Details_PBI[[#This Row],[Profit]]/Order_Details_PBI[[#This Row],[Amount]]</f>
        <v>-0.26122448979591839</v>
      </c>
      <c r="H127" t="str">
        <f>IF(Order_Details_PBI[[#This Row],[Profit Margine]]&lt;0," Loss",IF(Order_Details_PBI[[#This Row],[Profit Margine]]=0," Break-Even","Profit"))</f>
        <v xml:space="preserve"> Loss</v>
      </c>
      <c r="I127" s="2">
        <v>43302</v>
      </c>
      <c r="J127" t="s">
        <v>690</v>
      </c>
      <c r="K127" t="str">
        <f>UPPER(List_of_Orders_PBI[[#This Row],[CustomerName]])</f>
        <v>KIRAN</v>
      </c>
      <c r="L127" t="s">
        <v>539</v>
      </c>
      <c r="M127" t="s">
        <v>595</v>
      </c>
      <c r="N127" t="str">
        <f>TEXT(List_of_Orders_PBI[[#This Row],[Order Date]],"DD-MMM-YYYY")</f>
        <v>21-Jul-2018</v>
      </c>
      <c r="O127" t="str">
        <f>_xlfn.CONCAT(List_of_Orders_PBI[[#This Row],[City]] &amp;" - "&amp; List_of_Orders_PBI[[#This Row],[State]])</f>
        <v>Mumbai - Maharashtra</v>
      </c>
    </row>
    <row r="128" spans="1:15" x14ac:dyDescent="0.3">
      <c r="A128" t="s">
        <v>152</v>
      </c>
      <c r="B128">
        <v>57</v>
      </c>
      <c r="C128">
        <v>-48</v>
      </c>
      <c r="D128">
        <v>6</v>
      </c>
      <c r="E128" t="s">
        <v>9</v>
      </c>
      <c r="F128" t="s">
        <v>27</v>
      </c>
      <c r="G128">
        <f>Order_Details_PBI[[#This Row],[Profit]]/Order_Details_PBI[[#This Row],[Amount]]</f>
        <v>-0.84210526315789469</v>
      </c>
      <c r="H128" t="str">
        <f>IF(Order_Details_PBI[[#This Row],[Profit Margine]]&lt;0," Loss",IF(Order_Details_PBI[[#This Row],[Profit Margine]]=0," Break-Even","Profit"))</f>
        <v xml:space="preserve"> Loss</v>
      </c>
      <c r="I128" s="2">
        <v>43303</v>
      </c>
      <c r="J128" t="s">
        <v>691</v>
      </c>
      <c r="K128" t="str">
        <f>UPPER(List_of_Orders_PBI[[#This Row],[CustomerName]])</f>
        <v>TURUMELLA</v>
      </c>
      <c r="L128" t="s">
        <v>542</v>
      </c>
      <c r="M128" t="s">
        <v>597</v>
      </c>
      <c r="N128" t="str">
        <f>TEXT(List_of_Orders_PBI[[#This Row],[Order Date]],"DD-MMM-YYYY")</f>
        <v>22-Jul-2018</v>
      </c>
      <c r="O128" t="str">
        <f>_xlfn.CONCAT(List_of_Orders_PBI[[#This Row],[City]] &amp;" - "&amp; List_of_Orders_PBI[[#This Row],[State]])</f>
        <v>Indore - Madhya Pradesh</v>
      </c>
    </row>
    <row r="129" spans="1:15" x14ac:dyDescent="0.3">
      <c r="A129" t="s">
        <v>153</v>
      </c>
      <c r="B129">
        <v>1055</v>
      </c>
      <c r="C129">
        <v>264</v>
      </c>
      <c r="D129">
        <v>4</v>
      </c>
      <c r="E129" t="s">
        <v>12</v>
      </c>
      <c r="F129" t="s">
        <v>30</v>
      </c>
      <c r="G129">
        <f>Order_Details_PBI[[#This Row],[Profit]]/Order_Details_PBI[[#This Row],[Amount]]</f>
        <v>0.25023696682464452</v>
      </c>
      <c r="H129" t="str">
        <f>IF(Order_Details_PBI[[#This Row],[Profit Margine]]&lt;0," Loss",IF(Order_Details_PBI[[#This Row],[Profit Margine]]=0," Break-Even","Profit"))</f>
        <v>Profit</v>
      </c>
      <c r="I129" s="2">
        <v>43303</v>
      </c>
      <c r="J129" t="s">
        <v>692</v>
      </c>
      <c r="K129" t="str">
        <f>UPPER(List_of_Orders_PBI[[#This Row],[CustomerName]])</f>
        <v>AMEESHA</v>
      </c>
      <c r="L129" t="s">
        <v>539</v>
      </c>
      <c r="M129" t="s">
        <v>540</v>
      </c>
      <c r="N129" t="str">
        <f>TEXT(List_of_Orders_PBI[[#This Row],[Order Date]],"DD-MMM-YYYY")</f>
        <v>22-Jul-2018</v>
      </c>
      <c r="O129" t="str">
        <f>_xlfn.CONCAT(List_of_Orders_PBI[[#This Row],[City]] &amp;" - "&amp; List_of_Orders_PBI[[#This Row],[State]])</f>
        <v>Pune - Maharashtra</v>
      </c>
    </row>
    <row r="130" spans="1:15" x14ac:dyDescent="0.3">
      <c r="A130" t="s">
        <v>154</v>
      </c>
      <c r="B130">
        <v>1549</v>
      </c>
      <c r="C130">
        <v>-439</v>
      </c>
      <c r="D130">
        <v>4</v>
      </c>
      <c r="E130" t="s">
        <v>12</v>
      </c>
      <c r="F130" t="s">
        <v>15</v>
      </c>
      <c r="G130">
        <f>Order_Details_PBI[[#This Row],[Profit]]/Order_Details_PBI[[#This Row],[Amount]]</f>
        <v>-0.28340865074241445</v>
      </c>
      <c r="H130" t="str">
        <f>IF(Order_Details_PBI[[#This Row],[Profit Margine]]&lt;0," Loss",IF(Order_Details_PBI[[#This Row],[Profit Margine]]=0," Break-Even","Profit"))</f>
        <v xml:space="preserve"> Loss</v>
      </c>
      <c r="I130" s="2">
        <v>43303</v>
      </c>
      <c r="J130" t="s">
        <v>693</v>
      </c>
      <c r="K130" t="str">
        <f>UPPER(List_of_Orders_PBI[[#This Row],[CustomerName]])</f>
        <v>MADHULIKA</v>
      </c>
      <c r="L130" t="s">
        <v>542</v>
      </c>
      <c r="M130" t="s">
        <v>543</v>
      </c>
      <c r="N130" t="str">
        <f>TEXT(List_of_Orders_PBI[[#This Row],[Order Date]],"DD-MMM-YYYY")</f>
        <v>22-Jul-2018</v>
      </c>
      <c r="O130" t="str">
        <f>_xlfn.CONCAT(List_of_Orders_PBI[[#This Row],[City]] &amp;" - "&amp; List_of_Orders_PBI[[#This Row],[State]])</f>
        <v>Bhopal - Madhya Pradesh</v>
      </c>
    </row>
    <row r="131" spans="1:15" x14ac:dyDescent="0.3">
      <c r="A131" t="s">
        <v>155</v>
      </c>
      <c r="B131">
        <v>1145</v>
      </c>
      <c r="C131">
        <v>-706</v>
      </c>
      <c r="D131">
        <v>3</v>
      </c>
      <c r="E131" t="s">
        <v>12</v>
      </c>
      <c r="F131" t="s">
        <v>15</v>
      </c>
      <c r="G131">
        <f>Order_Details_PBI[[#This Row],[Profit]]/Order_Details_PBI[[#This Row],[Amount]]</f>
        <v>-0.61659388646288205</v>
      </c>
      <c r="H131" t="str">
        <f>IF(Order_Details_PBI[[#This Row],[Profit Margine]]&lt;0," Loss",IF(Order_Details_PBI[[#This Row],[Profit Margine]]=0," Break-Even","Profit"))</f>
        <v xml:space="preserve"> Loss</v>
      </c>
      <c r="I131" s="2">
        <v>43303</v>
      </c>
      <c r="J131" t="s">
        <v>694</v>
      </c>
      <c r="K131" t="str">
        <f>UPPER(List_of_Orders_PBI[[#This Row],[CustomerName]])</f>
        <v>RISHABH</v>
      </c>
      <c r="L131" t="s">
        <v>545</v>
      </c>
      <c r="M131" t="s">
        <v>546</v>
      </c>
      <c r="N131" t="str">
        <f>TEXT(List_of_Orders_PBI[[#This Row],[Order Date]],"DD-MMM-YYYY")</f>
        <v>22-Jul-2018</v>
      </c>
      <c r="O131" t="str">
        <f>_xlfn.CONCAT(List_of_Orders_PBI[[#This Row],[City]] &amp;" - "&amp; List_of_Orders_PBI[[#This Row],[State]])</f>
        <v>Jaipur - Rajasthan</v>
      </c>
    </row>
    <row r="132" spans="1:15" x14ac:dyDescent="0.3">
      <c r="A132" t="s">
        <v>156</v>
      </c>
      <c r="B132">
        <v>131</v>
      </c>
      <c r="C132">
        <v>-154</v>
      </c>
      <c r="D132">
        <v>8</v>
      </c>
      <c r="E132" t="s">
        <v>7</v>
      </c>
      <c r="F132" t="s">
        <v>34</v>
      </c>
      <c r="G132">
        <f>Order_Details_PBI[[#This Row],[Profit]]/Order_Details_PBI[[#This Row],[Amount]]</f>
        <v>-1.1755725190839694</v>
      </c>
      <c r="H132" t="str">
        <f>IF(Order_Details_PBI[[#This Row],[Profit Margine]]&lt;0," Loss",IF(Order_Details_PBI[[#This Row],[Profit Margine]]=0," Break-Even","Profit"))</f>
        <v xml:space="preserve"> Loss</v>
      </c>
      <c r="I132" s="2">
        <v>43307</v>
      </c>
      <c r="J132" t="s">
        <v>695</v>
      </c>
      <c r="K132" t="str">
        <f>UPPER(List_of_Orders_PBI[[#This Row],[CustomerName]])</f>
        <v>AKASH</v>
      </c>
      <c r="L132" t="s">
        <v>548</v>
      </c>
      <c r="M132" t="s">
        <v>549</v>
      </c>
      <c r="N132" t="str">
        <f>TEXT(List_of_Orders_PBI[[#This Row],[Order Date]],"DD-MMM-YYYY")</f>
        <v>26-Jul-2018</v>
      </c>
      <c r="O132" t="str">
        <f>_xlfn.CONCAT(List_of_Orders_PBI[[#This Row],[City]] &amp;" - "&amp; List_of_Orders_PBI[[#This Row],[State]])</f>
        <v>Kolkata - West Bengal</v>
      </c>
    </row>
    <row r="133" spans="1:15" x14ac:dyDescent="0.3">
      <c r="A133" t="s">
        <v>157</v>
      </c>
      <c r="B133">
        <v>16</v>
      </c>
      <c r="C133">
        <v>-5</v>
      </c>
      <c r="D133">
        <v>2</v>
      </c>
      <c r="E133" t="s">
        <v>9</v>
      </c>
      <c r="F133" t="s">
        <v>10</v>
      </c>
      <c r="G133">
        <f>Order_Details_PBI[[#This Row],[Profit]]/Order_Details_PBI[[#This Row],[Amount]]</f>
        <v>-0.3125</v>
      </c>
      <c r="H133" t="str">
        <f>IF(Order_Details_PBI[[#This Row],[Profit Margine]]&lt;0," Loss",IF(Order_Details_PBI[[#This Row],[Profit Margine]]=0," Break-Even","Profit"))</f>
        <v xml:space="preserve"> Loss</v>
      </c>
      <c r="I133" s="2">
        <v>43308</v>
      </c>
      <c r="J133" t="s">
        <v>696</v>
      </c>
      <c r="K133" t="str">
        <f>UPPER(List_of_Orders_PBI[[#This Row],[CustomerName]])</f>
        <v>ANUBHAW</v>
      </c>
      <c r="L133" t="s">
        <v>551</v>
      </c>
      <c r="M133" t="s">
        <v>552</v>
      </c>
      <c r="N133" t="str">
        <f>TEXT(List_of_Orders_PBI[[#This Row],[Order Date]],"DD-MMM-YYYY")</f>
        <v>27-Jul-2018</v>
      </c>
      <c r="O133" t="str">
        <f>_xlfn.CONCAT(List_of_Orders_PBI[[#This Row],[City]] &amp;" - "&amp; List_of_Orders_PBI[[#This Row],[State]])</f>
        <v>Bangalore - Karnataka</v>
      </c>
    </row>
    <row r="134" spans="1:15" x14ac:dyDescent="0.3">
      <c r="A134" t="s">
        <v>158</v>
      </c>
      <c r="B134">
        <v>43</v>
      </c>
      <c r="C134">
        <v>-43</v>
      </c>
      <c r="D134">
        <v>7</v>
      </c>
      <c r="E134" t="s">
        <v>9</v>
      </c>
      <c r="F134" t="s">
        <v>10</v>
      </c>
      <c r="G134">
        <f>Order_Details_PBI[[#This Row],[Profit]]/Order_Details_PBI[[#This Row],[Amount]]</f>
        <v>-1</v>
      </c>
      <c r="H134" t="str">
        <f>IF(Order_Details_PBI[[#This Row],[Profit Margine]]&lt;0," Loss",IF(Order_Details_PBI[[#This Row],[Profit Margine]]=0," Break-Even","Profit"))</f>
        <v xml:space="preserve"> Loss</v>
      </c>
      <c r="I134" s="2">
        <v>43309</v>
      </c>
      <c r="J134" t="s">
        <v>697</v>
      </c>
      <c r="K134" t="str">
        <f>UPPER(List_of_Orders_PBI[[#This Row],[CustomerName]])</f>
        <v>DHIRAJENDU</v>
      </c>
      <c r="L134" t="s">
        <v>539</v>
      </c>
      <c r="M134" t="s">
        <v>595</v>
      </c>
      <c r="N134" t="str">
        <f>TEXT(List_of_Orders_PBI[[#This Row],[Order Date]],"DD-MMM-YYYY")</f>
        <v>28-Jul-2018</v>
      </c>
      <c r="O134" t="str">
        <f>_xlfn.CONCAT(List_of_Orders_PBI[[#This Row],[City]] &amp;" - "&amp; List_of_Orders_PBI[[#This Row],[State]])</f>
        <v>Mumbai - Maharashtra</v>
      </c>
    </row>
    <row r="135" spans="1:15" x14ac:dyDescent="0.3">
      <c r="A135" t="s">
        <v>159</v>
      </c>
      <c r="B135">
        <v>108</v>
      </c>
      <c r="C135">
        <v>-19</v>
      </c>
      <c r="D135">
        <v>3</v>
      </c>
      <c r="E135" t="s">
        <v>12</v>
      </c>
      <c r="F135" t="s">
        <v>13</v>
      </c>
      <c r="G135">
        <f>Order_Details_PBI[[#This Row],[Profit]]/Order_Details_PBI[[#This Row],[Amount]]</f>
        <v>-0.17592592592592593</v>
      </c>
      <c r="H135" t="str">
        <f>IF(Order_Details_PBI[[#This Row],[Profit Margine]]&lt;0," Loss",IF(Order_Details_PBI[[#This Row],[Profit Margine]]=0," Break-Even","Profit"))</f>
        <v xml:space="preserve"> Loss</v>
      </c>
      <c r="I135" s="2">
        <v>43310</v>
      </c>
      <c r="J135" t="s">
        <v>698</v>
      </c>
      <c r="K135" t="str">
        <f>UPPER(List_of_Orders_PBI[[#This Row],[CustomerName]])</f>
        <v>PRANAV</v>
      </c>
      <c r="L135" t="s">
        <v>542</v>
      </c>
      <c r="M135" t="s">
        <v>597</v>
      </c>
      <c r="N135" t="str">
        <f>TEXT(List_of_Orders_PBI[[#This Row],[Order Date]],"DD-MMM-YYYY")</f>
        <v>29-Jul-2018</v>
      </c>
      <c r="O135" t="str">
        <f>_xlfn.CONCAT(List_of_Orders_PBI[[#This Row],[City]] &amp;" - "&amp; List_of_Orders_PBI[[#This Row],[State]])</f>
        <v>Indore - Madhya Pradesh</v>
      </c>
    </row>
    <row r="136" spans="1:15" x14ac:dyDescent="0.3">
      <c r="A136" t="s">
        <v>160</v>
      </c>
      <c r="B136">
        <v>12</v>
      </c>
      <c r="C136">
        <v>-2</v>
      </c>
      <c r="D136">
        <v>3</v>
      </c>
      <c r="E136" t="s">
        <v>9</v>
      </c>
      <c r="F136" t="s">
        <v>11</v>
      </c>
      <c r="G136">
        <f>Order_Details_PBI[[#This Row],[Profit]]/Order_Details_PBI[[#This Row],[Amount]]</f>
        <v>-0.16666666666666666</v>
      </c>
      <c r="H136" t="str">
        <f>IF(Order_Details_PBI[[#This Row],[Profit Margine]]&lt;0," Loss",IF(Order_Details_PBI[[#This Row],[Profit Margine]]=0," Break-Even","Profit"))</f>
        <v xml:space="preserve"> Loss</v>
      </c>
      <c r="I136" s="2">
        <v>43311</v>
      </c>
      <c r="J136" t="s">
        <v>699</v>
      </c>
      <c r="K136" t="str">
        <f>UPPER(List_of_Orders_PBI[[#This Row],[CustomerName]])</f>
        <v>ARINDAM</v>
      </c>
      <c r="L136" t="s">
        <v>560</v>
      </c>
      <c r="M136" t="s">
        <v>561</v>
      </c>
      <c r="N136" t="str">
        <f>TEXT(List_of_Orders_PBI[[#This Row],[Order Date]],"DD-MMM-YYYY")</f>
        <v>30-Jul-2018</v>
      </c>
      <c r="O136" t="str">
        <f>_xlfn.CONCAT(List_of_Orders_PBI[[#This Row],[City]] &amp;" - "&amp; List_of_Orders_PBI[[#This Row],[State]])</f>
        <v>Lucknow - Uttar Pradesh</v>
      </c>
    </row>
    <row r="137" spans="1:15" x14ac:dyDescent="0.3">
      <c r="A137" t="s">
        <v>161</v>
      </c>
      <c r="B137">
        <v>31</v>
      </c>
      <c r="C137">
        <v>-7</v>
      </c>
      <c r="D137">
        <v>5</v>
      </c>
      <c r="E137" t="s">
        <v>9</v>
      </c>
      <c r="F137" t="s">
        <v>53</v>
      </c>
      <c r="G137">
        <f>Order_Details_PBI[[#This Row],[Profit]]/Order_Details_PBI[[#This Row],[Amount]]</f>
        <v>-0.22580645161290322</v>
      </c>
      <c r="H137" t="str">
        <f>IF(Order_Details_PBI[[#This Row],[Profit Margine]]&lt;0," Loss",IF(Order_Details_PBI[[#This Row],[Profit Margine]]=0," Break-Even","Profit"))</f>
        <v xml:space="preserve"> Loss</v>
      </c>
      <c r="I137" s="2">
        <v>43312</v>
      </c>
      <c r="J137" t="s">
        <v>700</v>
      </c>
      <c r="K137" t="str">
        <f>UPPER(List_of_Orders_PBI[[#This Row],[CustomerName]])</f>
        <v>AKSHAT</v>
      </c>
      <c r="L137" t="s">
        <v>539</v>
      </c>
      <c r="M137" t="s">
        <v>595</v>
      </c>
      <c r="N137" t="str">
        <f>TEXT(List_of_Orders_PBI[[#This Row],[Order Date]],"DD-MMM-YYYY")</f>
        <v>31-Jul-2018</v>
      </c>
      <c r="O137" t="str">
        <f>_xlfn.CONCAT(List_of_Orders_PBI[[#This Row],[City]] &amp;" - "&amp; List_of_Orders_PBI[[#This Row],[State]])</f>
        <v>Mumbai - Maharashtra</v>
      </c>
    </row>
    <row r="138" spans="1:15" x14ac:dyDescent="0.3">
      <c r="A138" t="s">
        <v>162</v>
      </c>
      <c r="B138">
        <v>187</v>
      </c>
      <c r="C138">
        <v>-15</v>
      </c>
      <c r="D138">
        <v>3</v>
      </c>
      <c r="E138" t="s">
        <v>9</v>
      </c>
      <c r="F138" t="s">
        <v>18</v>
      </c>
      <c r="G138">
        <f>Order_Details_PBI[[#This Row],[Profit]]/Order_Details_PBI[[#This Row],[Amount]]</f>
        <v>-8.0213903743315509E-2</v>
      </c>
      <c r="H138" t="str">
        <f>IF(Order_Details_PBI[[#This Row],[Profit Margine]]&lt;0," Loss",IF(Order_Details_PBI[[#This Row],[Profit Margine]]=0," Break-Even","Profit"))</f>
        <v xml:space="preserve"> Loss</v>
      </c>
      <c r="I138" s="2">
        <v>43313</v>
      </c>
      <c r="J138" t="s">
        <v>701</v>
      </c>
      <c r="K138" t="str">
        <f>UPPER(List_of_Orders_PBI[[#This Row],[CustomerName]])</f>
        <v>SHUBHAM</v>
      </c>
      <c r="L138" t="s">
        <v>542</v>
      </c>
      <c r="M138" t="s">
        <v>597</v>
      </c>
      <c r="N138" t="str">
        <f>TEXT(List_of_Orders_PBI[[#This Row],[Order Date]],"DD-MMM-YYYY")</f>
        <v>01-Aug-2018</v>
      </c>
      <c r="O138" t="str">
        <f>_xlfn.CONCAT(List_of_Orders_PBI[[#This Row],[City]] &amp;" - "&amp; List_of_Orders_PBI[[#This Row],[State]])</f>
        <v>Indore - Madhya Pradesh</v>
      </c>
    </row>
    <row r="139" spans="1:15" x14ac:dyDescent="0.3">
      <c r="A139" t="s">
        <v>163</v>
      </c>
      <c r="B139">
        <v>70</v>
      </c>
      <c r="C139">
        <v>-14</v>
      </c>
      <c r="D139">
        <v>2</v>
      </c>
      <c r="E139" t="s">
        <v>7</v>
      </c>
      <c r="F139" t="s">
        <v>34</v>
      </c>
      <c r="G139">
        <f>Order_Details_PBI[[#This Row],[Profit]]/Order_Details_PBI[[#This Row],[Amount]]</f>
        <v>-0.2</v>
      </c>
      <c r="H139" t="str">
        <f>IF(Order_Details_PBI[[#This Row],[Profit Margine]]&lt;0," Loss",IF(Order_Details_PBI[[#This Row],[Profit Margine]]=0," Break-Even","Profit"))</f>
        <v xml:space="preserve"> Loss</v>
      </c>
      <c r="I139" s="2">
        <v>43314</v>
      </c>
      <c r="J139" t="s">
        <v>702</v>
      </c>
      <c r="K139" t="str">
        <f>UPPER(List_of_Orders_PBI[[#This Row],[CustomerName]])</f>
        <v>AYUSH</v>
      </c>
      <c r="L139" t="s">
        <v>569</v>
      </c>
      <c r="M139" t="s">
        <v>570</v>
      </c>
      <c r="N139" t="str">
        <f>TEXT(List_of_Orders_PBI[[#This Row],[Order Date]],"DD-MMM-YYYY")</f>
        <v>02-Aug-2018</v>
      </c>
      <c r="O139" t="str">
        <f>_xlfn.CONCAT(List_of_Orders_PBI[[#This Row],[City]] &amp;" - "&amp; List_of_Orders_PBI[[#This Row],[State]])</f>
        <v>Chandigarh - Punjab</v>
      </c>
    </row>
    <row r="140" spans="1:15" x14ac:dyDescent="0.3">
      <c r="A140" t="s">
        <v>164</v>
      </c>
      <c r="B140">
        <v>133</v>
      </c>
      <c r="C140">
        <v>-56</v>
      </c>
      <c r="D140">
        <v>2</v>
      </c>
      <c r="E140" t="s">
        <v>7</v>
      </c>
      <c r="F140" t="s">
        <v>19</v>
      </c>
      <c r="G140">
        <f>Order_Details_PBI[[#This Row],[Profit]]/Order_Details_PBI[[#This Row],[Amount]]</f>
        <v>-0.42105263157894735</v>
      </c>
      <c r="H140" t="str">
        <f>IF(Order_Details_PBI[[#This Row],[Profit Margine]]&lt;0," Loss",IF(Order_Details_PBI[[#This Row],[Profit Margine]]=0," Break-Even","Profit"))</f>
        <v xml:space="preserve"> Loss</v>
      </c>
      <c r="I140" s="2">
        <v>43315</v>
      </c>
      <c r="J140" t="s">
        <v>703</v>
      </c>
      <c r="K140" t="str">
        <f>UPPER(List_of_Orders_PBI[[#This Row],[CustomerName]])</f>
        <v>DAKSH</v>
      </c>
      <c r="L140" t="s">
        <v>572</v>
      </c>
      <c r="M140" t="s">
        <v>570</v>
      </c>
      <c r="N140" t="str">
        <f>TEXT(List_of_Orders_PBI[[#This Row],[Order Date]],"DD-MMM-YYYY")</f>
        <v>03-Aug-2018</v>
      </c>
      <c r="O140" t="str">
        <f>_xlfn.CONCAT(List_of_Orders_PBI[[#This Row],[City]] &amp;" - "&amp; List_of_Orders_PBI[[#This Row],[State]])</f>
        <v>Chandigarh - Haryana</v>
      </c>
    </row>
    <row r="141" spans="1:15" x14ac:dyDescent="0.3">
      <c r="A141" t="s">
        <v>165</v>
      </c>
      <c r="B141">
        <v>40</v>
      </c>
      <c r="C141">
        <v>-37</v>
      </c>
      <c r="D141">
        <v>3</v>
      </c>
      <c r="E141" t="s">
        <v>9</v>
      </c>
      <c r="F141" t="s">
        <v>10</v>
      </c>
      <c r="G141">
        <f>Order_Details_PBI[[#This Row],[Profit]]/Order_Details_PBI[[#This Row],[Amount]]</f>
        <v>-0.92500000000000004</v>
      </c>
      <c r="H141" t="str">
        <f>IF(Order_Details_PBI[[#This Row],[Profit Margine]]&lt;0," Loss",IF(Order_Details_PBI[[#This Row],[Profit Margine]]=0," Break-Even","Profit"))</f>
        <v xml:space="preserve"> Loss</v>
      </c>
      <c r="I141" s="2">
        <v>43315</v>
      </c>
      <c r="J141" t="s">
        <v>704</v>
      </c>
      <c r="K141" t="str">
        <f>UPPER(List_of_Orders_PBI[[#This Row],[CustomerName]])</f>
        <v>RANE</v>
      </c>
      <c r="L141" t="s">
        <v>539</v>
      </c>
      <c r="M141" t="s">
        <v>595</v>
      </c>
      <c r="N141" t="str">
        <f>TEXT(List_of_Orders_PBI[[#This Row],[Order Date]],"DD-MMM-YYYY")</f>
        <v>03-Aug-2018</v>
      </c>
      <c r="O141" t="str">
        <f>_xlfn.CONCAT(List_of_Orders_PBI[[#This Row],[City]] &amp;" - "&amp; List_of_Orders_PBI[[#This Row],[State]])</f>
        <v>Mumbai - Maharashtra</v>
      </c>
    </row>
    <row r="142" spans="1:15" x14ac:dyDescent="0.3">
      <c r="A142" t="s">
        <v>166</v>
      </c>
      <c r="B142">
        <v>482</v>
      </c>
      <c r="C142">
        <v>-6</v>
      </c>
      <c r="D142">
        <v>7</v>
      </c>
      <c r="E142" t="s">
        <v>12</v>
      </c>
      <c r="F142" t="s">
        <v>13</v>
      </c>
      <c r="G142">
        <f>Order_Details_PBI[[#This Row],[Profit]]/Order_Details_PBI[[#This Row],[Amount]]</f>
        <v>-1.2448132780082987E-2</v>
      </c>
      <c r="H142" t="str">
        <f>IF(Order_Details_PBI[[#This Row],[Profit Margine]]&lt;0," Loss",IF(Order_Details_PBI[[#This Row],[Profit Margine]]=0," Break-Even","Profit"))</f>
        <v xml:space="preserve"> Loss</v>
      </c>
      <c r="I142" s="2">
        <v>43315</v>
      </c>
      <c r="J142" t="s">
        <v>705</v>
      </c>
      <c r="K142" t="str">
        <f>UPPER(List_of_Orders_PBI[[#This Row],[CustomerName]])</f>
        <v>NAVDEEP</v>
      </c>
      <c r="L142" t="s">
        <v>542</v>
      </c>
      <c r="M142" t="s">
        <v>597</v>
      </c>
      <c r="N142" t="str">
        <f>TEXT(List_of_Orders_PBI[[#This Row],[Order Date]],"DD-MMM-YYYY")</f>
        <v>03-Aug-2018</v>
      </c>
      <c r="O142" t="str">
        <f>_xlfn.CONCAT(List_of_Orders_PBI[[#This Row],[City]] &amp;" - "&amp; List_of_Orders_PBI[[#This Row],[State]])</f>
        <v>Indore - Madhya Pradesh</v>
      </c>
    </row>
    <row r="143" spans="1:15" x14ac:dyDescent="0.3">
      <c r="A143" t="s">
        <v>167</v>
      </c>
      <c r="B143">
        <v>11</v>
      </c>
      <c r="C143">
        <v>-8</v>
      </c>
      <c r="D143">
        <v>2</v>
      </c>
      <c r="E143" t="s">
        <v>9</v>
      </c>
      <c r="F143" t="s">
        <v>53</v>
      </c>
      <c r="G143">
        <f>Order_Details_PBI[[#This Row],[Profit]]/Order_Details_PBI[[#This Row],[Amount]]</f>
        <v>-0.72727272727272729</v>
      </c>
      <c r="H143" t="str">
        <f>IF(Order_Details_PBI[[#This Row],[Profit Margine]]&lt;0," Loss",IF(Order_Details_PBI[[#This Row],[Profit Margine]]=0," Break-Even","Profit"))</f>
        <v xml:space="preserve"> Loss</v>
      </c>
      <c r="I143" s="2">
        <v>43315</v>
      </c>
      <c r="J143" t="s">
        <v>706</v>
      </c>
      <c r="K143" t="str">
        <f>UPPER(List_of_Orders_PBI[[#This Row],[CustomerName]])</f>
        <v>ASHWIN</v>
      </c>
      <c r="L143" t="s">
        <v>580</v>
      </c>
      <c r="M143" t="s">
        <v>580</v>
      </c>
      <c r="N143" t="str">
        <f>TEXT(List_of_Orders_PBI[[#This Row],[Order Date]],"DD-MMM-YYYY")</f>
        <v>03-Aug-2018</v>
      </c>
      <c r="O143" t="str">
        <f>_xlfn.CONCAT(List_of_Orders_PBI[[#This Row],[City]] &amp;" - "&amp; List_of_Orders_PBI[[#This Row],[State]])</f>
        <v>Goa - Goa</v>
      </c>
    </row>
    <row r="144" spans="1:15" x14ac:dyDescent="0.3">
      <c r="A144" t="s">
        <v>168</v>
      </c>
      <c r="B144">
        <v>143</v>
      </c>
      <c r="C144">
        <v>-124</v>
      </c>
      <c r="D144">
        <v>5</v>
      </c>
      <c r="E144" t="s">
        <v>9</v>
      </c>
      <c r="F144" t="s">
        <v>16</v>
      </c>
      <c r="G144">
        <f>Order_Details_PBI[[#This Row],[Profit]]/Order_Details_PBI[[#This Row],[Amount]]</f>
        <v>-0.86713286713286708</v>
      </c>
      <c r="H144" t="str">
        <f>IF(Order_Details_PBI[[#This Row],[Profit Margine]]&lt;0," Loss",IF(Order_Details_PBI[[#This Row],[Profit Margine]]=0," Break-Even","Profit"))</f>
        <v xml:space="preserve"> Loss</v>
      </c>
      <c r="I144" s="2">
        <v>43319</v>
      </c>
      <c r="J144" t="s">
        <v>707</v>
      </c>
      <c r="K144" t="str">
        <f>UPPER(List_of_Orders_PBI[[#This Row],[CustomerName]])</f>
        <v>AMAN</v>
      </c>
      <c r="L144" t="s">
        <v>582</v>
      </c>
      <c r="M144" t="s">
        <v>583</v>
      </c>
      <c r="N144" t="str">
        <f>TEXT(List_of_Orders_PBI[[#This Row],[Order Date]],"DD-MMM-YYYY")</f>
        <v>07-Aug-2018</v>
      </c>
      <c r="O144" t="str">
        <f>_xlfn.CONCAT(List_of_Orders_PBI[[#This Row],[City]] &amp;" - "&amp; List_of_Orders_PBI[[#This Row],[State]])</f>
        <v>Kohima - Nagaland</v>
      </c>
    </row>
    <row r="145" spans="1:15" x14ac:dyDescent="0.3">
      <c r="A145" t="s">
        <v>169</v>
      </c>
      <c r="B145">
        <v>373</v>
      </c>
      <c r="C145">
        <v>-254</v>
      </c>
      <c r="D145">
        <v>6</v>
      </c>
      <c r="E145" t="s">
        <v>12</v>
      </c>
      <c r="F145" t="s">
        <v>30</v>
      </c>
      <c r="G145">
        <f>Order_Details_PBI[[#This Row],[Profit]]/Order_Details_PBI[[#This Row],[Amount]]</f>
        <v>-0.68096514745308312</v>
      </c>
      <c r="H145" t="str">
        <f>IF(Order_Details_PBI[[#This Row],[Profit Margine]]&lt;0," Loss",IF(Order_Details_PBI[[#This Row],[Profit Margine]]=0," Break-Even","Profit"))</f>
        <v xml:space="preserve"> Loss</v>
      </c>
      <c r="I145" s="2">
        <v>43320</v>
      </c>
      <c r="J145" t="s">
        <v>708</v>
      </c>
      <c r="K145" t="str">
        <f>UPPER(List_of_Orders_PBI[[#This Row],[CustomerName]])</f>
        <v>DEVENDRA</v>
      </c>
      <c r="L145" t="s">
        <v>585</v>
      </c>
      <c r="M145" t="s">
        <v>586</v>
      </c>
      <c r="N145" t="str">
        <f>TEXT(List_of_Orders_PBI[[#This Row],[Order Date]],"DD-MMM-YYYY")</f>
        <v>08-Aug-2018</v>
      </c>
      <c r="O145" t="str">
        <f>_xlfn.CONCAT(List_of_Orders_PBI[[#This Row],[City]] &amp;" - "&amp; List_of_Orders_PBI[[#This Row],[State]])</f>
        <v>Hyderabad - Andhra Pradesh</v>
      </c>
    </row>
    <row r="146" spans="1:15" x14ac:dyDescent="0.3">
      <c r="A146" t="s">
        <v>170</v>
      </c>
      <c r="B146">
        <v>44</v>
      </c>
      <c r="C146">
        <v>-8</v>
      </c>
      <c r="D146">
        <v>3</v>
      </c>
      <c r="E146" t="s">
        <v>9</v>
      </c>
      <c r="F146" t="s">
        <v>10</v>
      </c>
      <c r="G146">
        <f>Order_Details_PBI[[#This Row],[Profit]]/Order_Details_PBI[[#This Row],[Amount]]</f>
        <v>-0.18181818181818182</v>
      </c>
      <c r="H146" t="str">
        <f>IF(Order_Details_PBI[[#This Row],[Profit Margine]]&lt;0," Loss",IF(Order_Details_PBI[[#This Row],[Profit Margine]]=0," Break-Even","Profit"))</f>
        <v xml:space="preserve"> Loss</v>
      </c>
      <c r="I146" s="2">
        <v>43321</v>
      </c>
      <c r="J146" t="s">
        <v>709</v>
      </c>
      <c r="K146" t="str">
        <f>UPPER(List_of_Orders_PBI[[#This Row],[CustomerName]])</f>
        <v>KARTIK</v>
      </c>
      <c r="L146" t="s">
        <v>536</v>
      </c>
      <c r="M146" t="s">
        <v>537</v>
      </c>
      <c r="N146" t="str">
        <f>TEXT(List_of_Orders_PBI[[#This Row],[Order Date]],"DD-MMM-YYYY")</f>
        <v>09-Aug-2018</v>
      </c>
      <c r="O146" t="str">
        <f>_xlfn.CONCAT(List_of_Orders_PBI[[#This Row],[City]] &amp;" - "&amp; List_of_Orders_PBI[[#This Row],[State]])</f>
        <v>Ahmedabad - Gujarat</v>
      </c>
    </row>
    <row r="147" spans="1:15" x14ac:dyDescent="0.3">
      <c r="A147" t="s">
        <v>171</v>
      </c>
      <c r="B147">
        <v>87</v>
      </c>
      <c r="C147">
        <v>16</v>
      </c>
      <c r="D147">
        <v>2</v>
      </c>
      <c r="E147" t="s">
        <v>9</v>
      </c>
      <c r="F147" t="s">
        <v>16</v>
      </c>
      <c r="G147">
        <f>Order_Details_PBI[[#This Row],[Profit]]/Order_Details_PBI[[#This Row],[Amount]]</f>
        <v>0.18390804597701149</v>
      </c>
      <c r="H147" t="str">
        <f>IF(Order_Details_PBI[[#This Row],[Profit Margine]]&lt;0," Loss",IF(Order_Details_PBI[[#This Row],[Profit Margine]]=0," Break-Even","Profit"))</f>
        <v>Profit</v>
      </c>
      <c r="I147" s="2">
        <v>43322</v>
      </c>
      <c r="J147" t="s">
        <v>710</v>
      </c>
      <c r="K147" t="str">
        <f>UPPER(List_of_Orders_PBI[[#This Row],[CustomerName]])</f>
        <v>SHIVAM</v>
      </c>
      <c r="L147" t="s">
        <v>539</v>
      </c>
      <c r="M147" t="s">
        <v>540</v>
      </c>
      <c r="N147" t="str">
        <f>TEXT(List_of_Orders_PBI[[#This Row],[Order Date]],"DD-MMM-YYYY")</f>
        <v>10-Aug-2018</v>
      </c>
      <c r="O147" t="str">
        <f>_xlfn.CONCAT(List_of_Orders_PBI[[#This Row],[City]] &amp;" - "&amp; List_of_Orders_PBI[[#This Row],[State]])</f>
        <v>Pune - Maharashtra</v>
      </c>
    </row>
    <row r="148" spans="1:15" x14ac:dyDescent="0.3">
      <c r="A148" t="s">
        <v>172</v>
      </c>
      <c r="B148">
        <v>877</v>
      </c>
      <c r="C148">
        <v>395</v>
      </c>
      <c r="D148">
        <v>2</v>
      </c>
      <c r="E148" t="s">
        <v>7</v>
      </c>
      <c r="F148" t="s">
        <v>8</v>
      </c>
      <c r="G148">
        <f>Order_Details_PBI[[#This Row],[Profit]]/Order_Details_PBI[[#This Row],[Amount]]</f>
        <v>0.45039908779931587</v>
      </c>
      <c r="H148" t="str">
        <f>IF(Order_Details_PBI[[#This Row],[Profit Margine]]&lt;0," Loss",IF(Order_Details_PBI[[#This Row],[Profit Margine]]=0," Break-Even","Profit"))</f>
        <v>Profit</v>
      </c>
      <c r="I148" s="2">
        <v>43323</v>
      </c>
      <c r="J148" t="s">
        <v>711</v>
      </c>
      <c r="K148" t="str">
        <f>UPPER(List_of_Orders_PBI[[#This Row],[CustomerName]])</f>
        <v>HARSH</v>
      </c>
      <c r="L148" t="s">
        <v>542</v>
      </c>
      <c r="M148" t="s">
        <v>543</v>
      </c>
      <c r="N148" t="str">
        <f>TEXT(List_of_Orders_PBI[[#This Row],[Order Date]],"DD-MMM-YYYY")</f>
        <v>11-Aug-2018</v>
      </c>
      <c r="O148" t="str">
        <f>_xlfn.CONCAT(List_of_Orders_PBI[[#This Row],[City]] &amp;" - "&amp; List_of_Orders_PBI[[#This Row],[State]])</f>
        <v>Bhopal - Madhya Pradesh</v>
      </c>
    </row>
    <row r="149" spans="1:15" x14ac:dyDescent="0.3">
      <c r="A149" t="s">
        <v>173</v>
      </c>
      <c r="B149">
        <v>141</v>
      </c>
      <c r="C149">
        <v>10</v>
      </c>
      <c r="D149">
        <v>4</v>
      </c>
      <c r="E149" t="s">
        <v>9</v>
      </c>
      <c r="F149" t="s">
        <v>25</v>
      </c>
      <c r="G149">
        <f>Order_Details_PBI[[#This Row],[Profit]]/Order_Details_PBI[[#This Row],[Amount]]</f>
        <v>7.0921985815602842E-2</v>
      </c>
      <c r="H149" t="str">
        <f>IF(Order_Details_PBI[[#This Row],[Profit Margine]]&lt;0," Loss",IF(Order_Details_PBI[[#This Row],[Profit Margine]]=0," Break-Even","Profit"))</f>
        <v>Profit</v>
      </c>
      <c r="I149" s="2">
        <v>43324</v>
      </c>
      <c r="J149" t="s">
        <v>712</v>
      </c>
      <c r="K149" t="str">
        <f>UPPER(List_of_Orders_PBI[[#This Row],[CustomerName]])</f>
        <v>NITANT</v>
      </c>
      <c r="L149" t="s">
        <v>545</v>
      </c>
      <c r="M149" t="s">
        <v>546</v>
      </c>
      <c r="N149" t="str">
        <f>TEXT(List_of_Orders_PBI[[#This Row],[Order Date]],"DD-MMM-YYYY")</f>
        <v>12-Aug-2018</v>
      </c>
      <c r="O149" t="str">
        <f>_xlfn.CONCAT(List_of_Orders_PBI[[#This Row],[City]] &amp;" - "&amp; List_of_Orders_PBI[[#This Row],[State]])</f>
        <v>Jaipur - Rajasthan</v>
      </c>
    </row>
    <row r="150" spans="1:15" x14ac:dyDescent="0.3">
      <c r="A150" t="s">
        <v>174</v>
      </c>
      <c r="B150">
        <v>1052</v>
      </c>
      <c r="C150">
        <v>-82</v>
      </c>
      <c r="D150">
        <v>3</v>
      </c>
      <c r="E150" t="s">
        <v>7</v>
      </c>
      <c r="F150" t="s">
        <v>8</v>
      </c>
      <c r="G150">
        <f>Order_Details_PBI[[#This Row],[Profit]]/Order_Details_PBI[[#This Row],[Amount]]</f>
        <v>-7.7946768060836502E-2</v>
      </c>
      <c r="H150" t="str">
        <f>IF(Order_Details_PBI[[#This Row],[Profit Margine]]&lt;0," Loss",IF(Order_Details_PBI[[#This Row],[Profit Margine]]=0," Break-Even","Profit"))</f>
        <v xml:space="preserve"> Loss</v>
      </c>
      <c r="I150" s="2">
        <v>43325</v>
      </c>
      <c r="J150" t="s">
        <v>702</v>
      </c>
      <c r="K150" t="str">
        <f>UPPER(List_of_Orders_PBI[[#This Row],[CustomerName]])</f>
        <v>AYUSH</v>
      </c>
      <c r="L150" t="s">
        <v>539</v>
      </c>
      <c r="M150" t="s">
        <v>595</v>
      </c>
      <c r="N150" t="str">
        <f>TEXT(List_of_Orders_PBI[[#This Row],[Order Date]],"DD-MMM-YYYY")</f>
        <v>13-Aug-2018</v>
      </c>
      <c r="O150" t="str">
        <f>_xlfn.CONCAT(List_of_Orders_PBI[[#This Row],[City]] &amp;" - "&amp; List_of_Orders_PBI[[#This Row],[State]])</f>
        <v>Mumbai - Maharashtra</v>
      </c>
    </row>
    <row r="151" spans="1:15" x14ac:dyDescent="0.3">
      <c r="A151" t="s">
        <v>175</v>
      </c>
      <c r="B151">
        <v>212</v>
      </c>
      <c r="C151">
        <v>-24</v>
      </c>
      <c r="D151">
        <v>2</v>
      </c>
      <c r="E151" t="s">
        <v>7</v>
      </c>
      <c r="F151" t="s">
        <v>19</v>
      </c>
      <c r="G151">
        <f>Order_Details_PBI[[#This Row],[Profit]]/Order_Details_PBI[[#This Row],[Amount]]</f>
        <v>-0.11320754716981132</v>
      </c>
      <c r="H151" t="str">
        <f>IF(Order_Details_PBI[[#This Row],[Profit Margine]]&lt;0," Loss",IF(Order_Details_PBI[[#This Row],[Profit Margine]]=0," Break-Even","Profit"))</f>
        <v xml:space="preserve"> Loss</v>
      </c>
      <c r="I151" s="2">
        <v>43326</v>
      </c>
      <c r="J151" t="s">
        <v>713</v>
      </c>
      <c r="K151" t="str">
        <f>UPPER(List_of_Orders_PBI[[#This Row],[CustomerName]])</f>
        <v>PRIYANSHU</v>
      </c>
      <c r="L151" t="s">
        <v>542</v>
      </c>
      <c r="M151" t="s">
        <v>597</v>
      </c>
      <c r="N151" t="str">
        <f>TEXT(List_of_Orders_PBI[[#This Row],[Order Date]],"DD-MMM-YYYY")</f>
        <v>14-Aug-2018</v>
      </c>
      <c r="O151" t="str">
        <f>_xlfn.CONCAT(List_of_Orders_PBI[[#This Row],[City]] &amp;" - "&amp; List_of_Orders_PBI[[#This Row],[State]])</f>
        <v>Indore - Madhya Pradesh</v>
      </c>
    </row>
    <row r="152" spans="1:15" x14ac:dyDescent="0.3">
      <c r="A152" t="s">
        <v>176</v>
      </c>
      <c r="B152">
        <v>10</v>
      </c>
      <c r="C152">
        <v>-8</v>
      </c>
      <c r="D152">
        <v>1</v>
      </c>
      <c r="E152" t="s">
        <v>9</v>
      </c>
      <c r="F152" t="s">
        <v>20</v>
      </c>
      <c r="G152">
        <f>Order_Details_PBI[[#This Row],[Profit]]/Order_Details_PBI[[#This Row],[Amount]]</f>
        <v>-0.8</v>
      </c>
      <c r="H152" t="str">
        <f>IF(Order_Details_PBI[[#This Row],[Profit Margine]]&lt;0," Loss",IF(Order_Details_PBI[[#This Row],[Profit Margine]]=0," Break-Even","Profit"))</f>
        <v xml:space="preserve"> Loss</v>
      </c>
      <c r="I152" s="2">
        <v>43326</v>
      </c>
      <c r="J152" t="s">
        <v>714</v>
      </c>
      <c r="K152" t="str">
        <f>UPPER(List_of_Orders_PBI[[#This Row],[CustomerName]])</f>
        <v>NISHANT</v>
      </c>
      <c r="L152" t="s">
        <v>539</v>
      </c>
      <c r="M152" t="s">
        <v>595</v>
      </c>
      <c r="N152" t="str">
        <f>TEXT(List_of_Orders_PBI[[#This Row],[Order Date]],"DD-MMM-YYYY")</f>
        <v>14-Aug-2018</v>
      </c>
      <c r="O152" t="str">
        <f>_xlfn.CONCAT(List_of_Orders_PBI[[#This Row],[City]] &amp;" - "&amp; List_of_Orders_PBI[[#This Row],[State]])</f>
        <v>Mumbai - Maharashtra</v>
      </c>
    </row>
    <row r="153" spans="1:15" x14ac:dyDescent="0.3">
      <c r="A153" t="s">
        <v>177</v>
      </c>
      <c r="B153">
        <v>1361</v>
      </c>
      <c r="C153">
        <v>197</v>
      </c>
      <c r="D153">
        <v>9</v>
      </c>
      <c r="E153" t="s">
        <v>7</v>
      </c>
      <c r="F153" t="s">
        <v>8</v>
      </c>
      <c r="G153">
        <f>Order_Details_PBI[[#This Row],[Profit]]/Order_Details_PBI[[#This Row],[Amount]]</f>
        <v>0.14474650991917706</v>
      </c>
      <c r="H153" t="str">
        <f>IF(Order_Details_PBI[[#This Row],[Profit Margine]]&lt;0," Loss",IF(Order_Details_PBI[[#This Row],[Profit Margine]]=0," Break-Even","Profit"))</f>
        <v>Profit</v>
      </c>
      <c r="I153" s="2">
        <v>43326</v>
      </c>
      <c r="J153" t="s">
        <v>715</v>
      </c>
      <c r="K153" t="str">
        <f>UPPER(List_of_Orders_PBI[[#This Row],[CustomerName]])</f>
        <v>VAIBHAV</v>
      </c>
      <c r="L153" t="s">
        <v>542</v>
      </c>
      <c r="M153" t="s">
        <v>597</v>
      </c>
      <c r="N153" t="str">
        <f>TEXT(List_of_Orders_PBI[[#This Row],[Order Date]],"DD-MMM-YYYY")</f>
        <v>14-Aug-2018</v>
      </c>
      <c r="O153" t="str">
        <f>_xlfn.CONCAT(List_of_Orders_PBI[[#This Row],[City]] &amp;" - "&amp; List_of_Orders_PBI[[#This Row],[State]])</f>
        <v>Indore - Madhya Pradesh</v>
      </c>
    </row>
    <row r="154" spans="1:15" x14ac:dyDescent="0.3">
      <c r="A154" t="s">
        <v>178</v>
      </c>
      <c r="B154">
        <v>62</v>
      </c>
      <c r="C154">
        <v>-56</v>
      </c>
      <c r="D154">
        <v>5</v>
      </c>
      <c r="E154" t="s">
        <v>9</v>
      </c>
      <c r="F154" t="s">
        <v>20</v>
      </c>
      <c r="G154">
        <f>Order_Details_PBI[[#This Row],[Profit]]/Order_Details_PBI[[#This Row],[Amount]]</f>
        <v>-0.90322580645161288</v>
      </c>
      <c r="H154" t="str">
        <f>IF(Order_Details_PBI[[#This Row],[Profit Margine]]&lt;0," Loss",IF(Order_Details_PBI[[#This Row],[Profit Margine]]=0," Break-Even","Profit"))</f>
        <v xml:space="preserve"> Loss</v>
      </c>
      <c r="I154" s="2">
        <v>43329</v>
      </c>
      <c r="J154" t="s">
        <v>710</v>
      </c>
      <c r="K154" t="str">
        <f>UPPER(List_of_Orders_PBI[[#This Row],[CustomerName]])</f>
        <v>SHIVAM</v>
      </c>
      <c r="L154" t="s">
        <v>560</v>
      </c>
      <c r="M154" t="s">
        <v>561</v>
      </c>
      <c r="N154" t="str">
        <f>TEXT(List_of_Orders_PBI[[#This Row],[Order Date]],"DD-MMM-YYYY")</f>
        <v>17-Aug-2018</v>
      </c>
      <c r="O154" t="str">
        <f>_xlfn.CONCAT(List_of_Orders_PBI[[#This Row],[City]] &amp;" - "&amp; List_of_Orders_PBI[[#This Row],[State]])</f>
        <v>Lucknow - Uttar Pradesh</v>
      </c>
    </row>
    <row r="155" spans="1:15" x14ac:dyDescent="0.3">
      <c r="A155" t="s">
        <v>179</v>
      </c>
      <c r="B155">
        <v>72</v>
      </c>
      <c r="C155">
        <v>-46</v>
      </c>
      <c r="D155">
        <v>7</v>
      </c>
      <c r="E155" t="s">
        <v>9</v>
      </c>
      <c r="F155" t="s">
        <v>20</v>
      </c>
      <c r="G155">
        <f>Order_Details_PBI[[#This Row],[Profit]]/Order_Details_PBI[[#This Row],[Amount]]</f>
        <v>-0.63888888888888884</v>
      </c>
      <c r="H155" t="str">
        <f>IF(Order_Details_PBI[[#This Row],[Profit Margine]]&lt;0," Loss",IF(Order_Details_PBI[[#This Row],[Profit Margine]]=0," Break-Even","Profit"))</f>
        <v xml:space="preserve"> Loss</v>
      </c>
      <c r="I155" s="2">
        <v>43330</v>
      </c>
      <c r="J155" t="s">
        <v>716</v>
      </c>
      <c r="K155" t="str">
        <f>UPPER(List_of_Orders_PBI[[#This Row],[CustomerName]])</f>
        <v>AKSHAY</v>
      </c>
      <c r="L155" t="s">
        <v>563</v>
      </c>
      <c r="M155" t="s">
        <v>564</v>
      </c>
      <c r="N155" t="str">
        <f>TEXT(List_of_Orders_PBI[[#This Row],[Order Date]],"DD-MMM-YYYY")</f>
        <v>18-Aug-2018</v>
      </c>
      <c r="O155" t="str">
        <f>_xlfn.CONCAT(List_of_Orders_PBI[[#This Row],[City]] &amp;" - "&amp; List_of_Orders_PBI[[#This Row],[State]])</f>
        <v>Patna - Bihar</v>
      </c>
    </row>
    <row r="156" spans="1:15" x14ac:dyDescent="0.3">
      <c r="A156" t="s">
        <v>180</v>
      </c>
      <c r="B156">
        <v>37</v>
      </c>
      <c r="C156">
        <v>-53</v>
      </c>
      <c r="D156">
        <v>3</v>
      </c>
      <c r="E156" t="s">
        <v>9</v>
      </c>
      <c r="F156" t="s">
        <v>16</v>
      </c>
      <c r="G156">
        <f>Order_Details_PBI[[#This Row],[Profit]]/Order_Details_PBI[[#This Row],[Amount]]</f>
        <v>-1.4324324324324325</v>
      </c>
      <c r="H156" t="str">
        <f>IF(Order_Details_PBI[[#This Row],[Profit Margine]]&lt;0," Loss",IF(Order_Details_PBI[[#This Row],[Profit Margine]]=0," Break-Even","Profit"))</f>
        <v xml:space="preserve"> Loss</v>
      </c>
      <c r="I156" s="2">
        <v>43331</v>
      </c>
      <c r="J156" t="s">
        <v>717</v>
      </c>
      <c r="K156" t="str">
        <f>UPPER(List_of_Orders_PBI[[#This Row],[CustomerName]])</f>
        <v>SHOURYA</v>
      </c>
      <c r="L156" t="s">
        <v>566</v>
      </c>
      <c r="M156" t="s">
        <v>567</v>
      </c>
      <c r="N156" t="str">
        <f>TEXT(List_of_Orders_PBI[[#This Row],[Order Date]],"DD-MMM-YYYY")</f>
        <v>19-Aug-2018</v>
      </c>
      <c r="O156" t="str">
        <f>_xlfn.CONCAT(List_of_Orders_PBI[[#This Row],[City]] &amp;" - "&amp; List_of_Orders_PBI[[#This Row],[State]])</f>
        <v xml:space="preserve">Thiruvananthapuram - Kerala </v>
      </c>
    </row>
    <row r="157" spans="1:15" x14ac:dyDescent="0.3">
      <c r="A157" t="s">
        <v>181</v>
      </c>
      <c r="B157">
        <v>465</v>
      </c>
      <c r="C157">
        <v>-33</v>
      </c>
      <c r="D157">
        <v>4</v>
      </c>
      <c r="E157" t="s">
        <v>12</v>
      </c>
      <c r="F157" t="s">
        <v>15</v>
      </c>
      <c r="G157">
        <f>Order_Details_PBI[[#This Row],[Profit]]/Order_Details_PBI[[#This Row],[Amount]]</f>
        <v>-7.0967741935483872E-2</v>
      </c>
      <c r="H157" t="str">
        <f>IF(Order_Details_PBI[[#This Row],[Profit Margine]]&lt;0," Loss",IF(Order_Details_PBI[[#This Row],[Profit Margine]]=0," Break-Even","Profit"))</f>
        <v xml:space="preserve"> Loss</v>
      </c>
      <c r="I157" s="2">
        <v>43332</v>
      </c>
      <c r="J157" t="s">
        <v>718</v>
      </c>
      <c r="K157" t="str">
        <f>UPPER(List_of_Orders_PBI[[#This Row],[CustomerName]])</f>
        <v>MOHAN</v>
      </c>
      <c r="L157" t="s">
        <v>539</v>
      </c>
      <c r="M157" t="s">
        <v>595</v>
      </c>
      <c r="N157" t="str">
        <f>TEXT(List_of_Orders_PBI[[#This Row],[Order Date]],"DD-MMM-YYYY")</f>
        <v>20-Aug-2018</v>
      </c>
      <c r="O157" t="str">
        <f>_xlfn.CONCAT(List_of_Orders_PBI[[#This Row],[City]] &amp;" - "&amp; List_of_Orders_PBI[[#This Row],[State]])</f>
        <v>Mumbai - Maharashtra</v>
      </c>
    </row>
    <row r="158" spans="1:15" x14ac:dyDescent="0.3">
      <c r="A158" t="s">
        <v>182</v>
      </c>
      <c r="B158">
        <v>17</v>
      </c>
      <c r="C158">
        <v>-13</v>
      </c>
      <c r="D158">
        <v>4</v>
      </c>
      <c r="E158" t="s">
        <v>9</v>
      </c>
      <c r="F158" t="s">
        <v>53</v>
      </c>
      <c r="G158">
        <f>Order_Details_PBI[[#This Row],[Profit]]/Order_Details_PBI[[#This Row],[Amount]]</f>
        <v>-0.76470588235294112</v>
      </c>
      <c r="H158" t="str">
        <f>IF(Order_Details_PBI[[#This Row],[Profit Margine]]&lt;0," Loss",IF(Order_Details_PBI[[#This Row],[Profit Margine]]=0," Break-Even","Profit"))</f>
        <v xml:space="preserve"> Loss</v>
      </c>
      <c r="I158" s="2">
        <v>43333</v>
      </c>
      <c r="J158" t="s">
        <v>719</v>
      </c>
      <c r="K158" t="str">
        <f>UPPER(List_of_Orders_PBI[[#This Row],[CustomerName]])</f>
        <v>MOHIT</v>
      </c>
      <c r="L158" t="s">
        <v>542</v>
      </c>
      <c r="M158" t="s">
        <v>597</v>
      </c>
      <c r="N158" t="str">
        <f>TEXT(List_of_Orders_PBI[[#This Row],[Order Date]],"DD-MMM-YYYY")</f>
        <v>21-Aug-2018</v>
      </c>
      <c r="O158" t="str">
        <f>_xlfn.CONCAT(List_of_Orders_PBI[[#This Row],[City]] &amp;" - "&amp; List_of_Orders_PBI[[#This Row],[State]])</f>
        <v>Indore - Madhya Pradesh</v>
      </c>
    </row>
    <row r="159" spans="1:15" x14ac:dyDescent="0.3">
      <c r="A159" t="s">
        <v>183</v>
      </c>
      <c r="B159">
        <v>8</v>
      </c>
      <c r="C159">
        <v>-2</v>
      </c>
      <c r="D159">
        <v>1</v>
      </c>
      <c r="E159" t="s">
        <v>9</v>
      </c>
      <c r="F159" t="s">
        <v>10</v>
      </c>
      <c r="G159">
        <f>Order_Details_PBI[[#This Row],[Profit]]/Order_Details_PBI[[#This Row],[Amount]]</f>
        <v>-0.25</v>
      </c>
      <c r="H159" t="str">
        <f>IF(Order_Details_PBI[[#This Row],[Profit Margine]]&lt;0," Loss",IF(Order_Details_PBI[[#This Row],[Profit Margine]]=0," Break-Even","Profit"))</f>
        <v xml:space="preserve"> Loss</v>
      </c>
      <c r="I159" s="2">
        <v>43334</v>
      </c>
      <c r="J159" t="s">
        <v>701</v>
      </c>
      <c r="K159" t="str">
        <f>UPPER(List_of_Orders_PBI[[#This Row],[CustomerName]])</f>
        <v>SHUBHAM</v>
      </c>
      <c r="L159" t="s">
        <v>574</v>
      </c>
      <c r="M159" t="s">
        <v>575</v>
      </c>
      <c r="N159" t="str">
        <f>TEXT(List_of_Orders_PBI[[#This Row],[Order Date]],"DD-MMM-YYYY")</f>
        <v>22-Aug-2018</v>
      </c>
      <c r="O159" t="str">
        <f>_xlfn.CONCAT(List_of_Orders_PBI[[#This Row],[City]] &amp;" - "&amp; List_of_Orders_PBI[[#This Row],[State]])</f>
        <v>Simla - Himachal Pradesh</v>
      </c>
    </row>
    <row r="160" spans="1:15" x14ac:dyDescent="0.3">
      <c r="A160" t="s">
        <v>184</v>
      </c>
      <c r="B160">
        <v>20</v>
      </c>
      <c r="C160">
        <v>-9</v>
      </c>
      <c r="D160">
        <v>6</v>
      </c>
      <c r="E160" t="s">
        <v>9</v>
      </c>
      <c r="F160" t="s">
        <v>11</v>
      </c>
      <c r="G160">
        <f>Order_Details_PBI[[#This Row],[Profit]]/Order_Details_PBI[[#This Row],[Amount]]</f>
        <v>-0.45</v>
      </c>
      <c r="H160" t="str">
        <f>IF(Order_Details_PBI[[#This Row],[Profit Margine]]&lt;0," Loss",IF(Order_Details_PBI[[#This Row],[Profit Margine]]=0," Break-Even","Profit"))</f>
        <v xml:space="preserve"> Loss</v>
      </c>
      <c r="I160" s="2">
        <v>43335</v>
      </c>
      <c r="J160" t="s">
        <v>720</v>
      </c>
      <c r="K160" t="str">
        <f>UPPER(List_of_Orders_PBI[[#This Row],[CustomerName]])</f>
        <v>SOUMYA</v>
      </c>
      <c r="L160" t="s">
        <v>577</v>
      </c>
      <c r="M160" t="s">
        <v>578</v>
      </c>
      <c r="N160" t="str">
        <f>TEXT(List_of_Orders_PBI[[#This Row],[Order Date]],"DD-MMM-YYYY")</f>
        <v>23-Aug-2018</v>
      </c>
      <c r="O160" t="str">
        <f>_xlfn.CONCAT(List_of_Orders_PBI[[#This Row],[City]] &amp;" - "&amp; List_of_Orders_PBI[[#This Row],[State]])</f>
        <v>Gangtok - Sikkim</v>
      </c>
    </row>
    <row r="161" spans="1:15" x14ac:dyDescent="0.3">
      <c r="A161" t="s">
        <v>185</v>
      </c>
      <c r="B161">
        <v>322</v>
      </c>
      <c r="C161">
        <v>-193</v>
      </c>
      <c r="D161">
        <v>5</v>
      </c>
      <c r="E161" t="s">
        <v>12</v>
      </c>
      <c r="F161" t="s">
        <v>30</v>
      </c>
      <c r="G161">
        <f>Order_Details_PBI[[#This Row],[Profit]]/Order_Details_PBI[[#This Row],[Amount]]</f>
        <v>-0.59937888198757761</v>
      </c>
      <c r="H161" t="str">
        <f>IF(Order_Details_PBI[[#This Row],[Profit Margine]]&lt;0," Loss",IF(Order_Details_PBI[[#This Row],[Profit Margine]]=0," Break-Even","Profit"))</f>
        <v xml:space="preserve"> Loss</v>
      </c>
      <c r="I161" s="2">
        <v>43336</v>
      </c>
      <c r="J161" t="s">
        <v>598</v>
      </c>
      <c r="K161" t="str">
        <f>UPPER(List_of_Orders_PBI[[#This Row],[CustomerName]])</f>
        <v>POOJA</v>
      </c>
      <c r="L161" t="s">
        <v>580</v>
      </c>
      <c r="M161" t="s">
        <v>580</v>
      </c>
      <c r="N161" t="str">
        <f>TEXT(List_of_Orders_PBI[[#This Row],[Order Date]],"DD-MMM-YYYY")</f>
        <v>24-Aug-2018</v>
      </c>
      <c r="O161" t="str">
        <f>_xlfn.CONCAT(List_of_Orders_PBI[[#This Row],[City]] &amp;" - "&amp; List_of_Orders_PBI[[#This Row],[State]])</f>
        <v>Goa - Goa</v>
      </c>
    </row>
    <row r="162" spans="1:15" x14ac:dyDescent="0.3">
      <c r="A162" t="s">
        <v>186</v>
      </c>
      <c r="B162">
        <v>2188</v>
      </c>
      <c r="C162">
        <v>1050</v>
      </c>
      <c r="D162">
        <v>5</v>
      </c>
      <c r="E162" t="s">
        <v>7</v>
      </c>
      <c r="F162" t="s">
        <v>8</v>
      </c>
      <c r="G162">
        <f>Order_Details_PBI[[#This Row],[Profit]]/Order_Details_PBI[[#This Row],[Amount]]</f>
        <v>0.47989031078610606</v>
      </c>
      <c r="H162" t="str">
        <f>IF(Order_Details_PBI[[#This Row],[Profit Margine]]&lt;0," Loss",IF(Order_Details_PBI[[#This Row],[Profit Margine]]=0," Break-Even","Profit"))</f>
        <v>Profit</v>
      </c>
      <c r="I162" s="2">
        <v>43337</v>
      </c>
      <c r="J162" t="s">
        <v>683</v>
      </c>
      <c r="K162" t="str">
        <f>UPPER(List_of_Orders_PBI[[#This Row],[CustomerName]])</f>
        <v>SURABHI</v>
      </c>
      <c r="L162" t="s">
        <v>539</v>
      </c>
      <c r="M162" t="s">
        <v>595</v>
      </c>
      <c r="N162" t="str">
        <f>TEXT(List_of_Orders_PBI[[#This Row],[Order Date]],"DD-MMM-YYYY")</f>
        <v>25-Aug-2018</v>
      </c>
      <c r="O162" t="str">
        <f>_xlfn.CONCAT(List_of_Orders_PBI[[#This Row],[City]] &amp;" - "&amp; List_of_Orders_PBI[[#This Row],[State]])</f>
        <v>Mumbai - Maharashtra</v>
      </c>
    </row>
    <row r="163" spans="1:15" x14ac:dyDescent="0.3">
      <c r="A163" t="s">
        <v>187</v>
      </c>
      <c r="B163">
        <v>1316</v>
      </c>
      <c r="C163">
        <v>-527</v>
      </c>
      <c r="D163">
        <v>7</v>
      </c>
      <c r="E163" t="s">
        <v>12</v>
      </c>
      <c r="F163" t="s">
        <v>13</v>
      </c>
      <c r="G163">
        <f>Order_Details_PBI[[#This Row],[Profit]]/Order_Details_PBI[[#This Row],[Amount]]</f>
        <v>-0.40045592705167171</v>
      </c>
      <c r="H163" t="str">
        <f>IF(Order_Details_PBI[[#This Row],[Profit Margine]]&lt;0," Loss",IF(Order_Details_PBI[[#This Row],[Profit Margine]]=0," Break-Even","Profit"))</f>
        <v xml:space="preserve"> Loss</v>
      </c>
      <c r="I163" s="2">
        <v>43338</v>
      </c>
      <c r="J163" t="s">
        <v>721</v>
      </c>
      <c r="K163" t="str">
        <f>UPPER(List_of_Orders_PBI[[#This Row],[CustomerName]])</f>
        <v>ANUDEEP</v>
      </c>
      <c r="L163" t="s">
        <v>542</v>
      </c>
      <c r="M163" t="s">
        <v>597</v>
      </c>
      <c r="N163" t="str">
        <f>TEXT(List_of_Orders_PBI[[#This Row],[Order Date]],"DD-MMM-YYYY")</f>
        <v>26-Aug-2018</v>
      </c>
      <c r="O163" t="str">
        <f>_xlfn.CONCAT(List_of_Orders_PBI[[#This Row],[City]] &amp;" - "&amp; List_of_Orders_PBI[[#This Row],[State]])</f>
        <v>Indore - Madhya Pradesh</v>
      </c>
    </row>
    <row r="164" spans="1:15" x14ac:dyDescent="0.3">
      <c r="A164" t="s">
        <v>188</v>
      </c>
      <c r="B164">
        <v>58</v>
      </c>
      <c r="C164">
        <v>-52</v>
      </c>
      <c r="D164">
        <v>3</v>
      </c>
      <c r="E164" t="s">
        <v>7</v>
      </c>
      <c r="F164" t="s">
        <v>19</v>
      </c>
      <c r="G164">
        <f>Order_Details_PBI[[#This Row],[Profit]]/Order_Details_PBI[[#This Row],[Amount]]</f>
        <v>-0.89655172413793105</v>
      </c>
      <c r="H164" t="str">
        <f>IF(Order_Details_PBI[[#This Row],[Profit Margine]]&lt;0," Loss",IF(Order_Details_PBI[[#This Row],[Profit Margine]]=0," Break-Even","Profit"))</f>
        <v xml:space="preserve"> Loss</v>
      </c>
      <c r="I164" s="2">
        <v>43339</v>
      </c>
      <c r="J164" t="s">
        <v>722</v>
      </c>
      <c r="K164" t="str">
        <f>UPPER(List_of_Orders_PBI[[#This Row],[CustomerName]])</f>
        <v>NOSHIBA</v>
      </c>
      <c r="L164" t="s">
        <v>536</v>
      </c>
      <c r="M164" t="s">
        <v>537</v>
      </c>
      <c r="N164" t="str">
        <f>TEXT(List_of_Orders_PBI[[#This Row],[Order Date]],"DD-MMM-YYYY")</f>
        <v>27-Aug-2018</v>
      </c>
      <c r="O164" t="str">
        <f>_xlfn.CONCAT(List_of_Orders_PBI[[#This Row],[City]] &amp;" - "&amp; List_of_Orders_PBI[[#This Row],[State]])</f>
        <v>Ahmedabad - Gujarat</v>
      </c>
    </row>
    <row r="165" spans="1:15" x14ac:dyDescent="0.3">
      <c r="A165" t="s">
        <v>189</v>
      </c>
      <c r="B165">
        <v>119</v>
      </c>
      <c r="C165">
        <v>43</v>
      </c>
      <c r="D165">
        <v>5</v>
      </c>
      <c r="E165" t="s">
        <v>9</v>
      </c>
      <c r="F165" t="s">
        <v>22</v>
      </c>
      <c r="G165">
        <f>Order_Details_PBI[[#This Row],[Profit]]/Order_Details_PBI[[#This Row],[Amount]]</f>
        <v>0.36134453781512604</v>
      </c>
      <c r="H165" t="str">
        <f>IF(Order_Details_PBI[[#This Row],[Profit Margine]]&lt;0," Loss",IF(Order_Details_PBI[[#This Row],[Profit Margine]]=0," Break-Even","Profit"))</f>
        <v>Profit</v>
      </c>
      <c r="I165" s="2">
        <v>43340</v>
      </c>
      <c r="J165" t="s">
        <v>723</v>
      </c>
      <c r="K165" t="str">
        <f>UPPER(List_of_Orders_PBI[[#This Row],[CustomerName]])</f>
        <v>SANJOVA</v>
      </c>
      <c r="L165" t="s">
        <v>539</v>
      </c>
      <c r="M165" t="s">
        <v>540</v>
      </c>
      <c r="N165" t="str">
        <f>TEXT(List_of_Orders_PBI[[#This Row],[Order Date]],"DD-MMM-YYYY")</f>
        <v>28-Aug-2018</v>
      </c>
      <c r="O165" t="str">
        <f>_xlfn.CONCAT(List_of_Orders_PBI[[#This Row],[City]] &amp;" - "&amp; List_of_Orders_PBI[[#This Row],[State]])</f>
        <v>Pune - Maharashtra</v>
      </c>
    </row>
    <row r="166" spans="1:15" x14ac:dyDescent="0.3">
      <c r="A166" t="s">
        <v>190</v>
      </c>
      <c r="B166">
        <v>139</v>
      </c>
      <c r="C166">
        <v>14</v>
      </c>
      <c r="D166">
        <v>3</v>
      </c>
      <c r="E166" t="s">
        <v>9</v>
      </c>
      <c r="F166" t="s">
        <v>10</v>
      </c>
      <c r="G166">
        <f>Order_Details_PBI[[#This Row],[Profit]]/Order_Details_PBI[[#This Row],[Amount]]</f>
        <v>0.10071942446043165</v>
      </c>
      <c r="H166" t="str">
        <f>IF(Order_Details_PBI[[#This Row],[Profit Margine]]&lt;0," Loss",IF(Order_Details_PBI[[#This Row],[Profit Margine]]=0," Break-Even","Profit"))</f>
        <v>Profit</v>
      </c>
      <c r="I166" s="2">
        <v>43341</v>
      </c>
      <c r="J166" t="s">
        <v>724</v>
      </c>
      <c r="K166" t="str">
        <f>UPPER(List_of_Orders_PBI[[#This Row],[CustomerName]])</f>
        <v>MEGHANA</v>
      </c>
      <c r="L166" t="s">
        <v>542</v>
      </c>
      <c r="M166" t="s">
        <v>543</v>
      </c>
      <c r="N166" t="str">
        <f>TEXT(List_of_Orders_PBI[[#This Row],[Order Date]],"DD-MMM-YYYY")</f>
        <v>29-Aug-2018</v>
      </c>
      <c r="O166" t="str">
        <f>_xlfn.CONCAT(List_of_Orders_PBI[[#This Row],[City]] &amp;" - "&amp; List_of_Orders_PBI[[#This Row],[State]])</f>
        <v>Bhopal - Madhya Pradesh</v>
      </c>
    </row>
    <row r="167" spans="1:15" x14ac:dyDescent="0.3">
      <c r="A167" t="s">
        <v>191</v>
      </c>
      <c r="B167">
        <v>220</v>
      </c>
      <c r="C167">
        <v>-19</v>
      </c>
      <c r="D167">
        <v>2</v>
      </c>
      <c r="E167" t="s">
        <v>9</v>
      </c>
      <c r="F167" t="s">
        <v>16</v>
      </c>
      <c r="G167">
        <f>Order_Details_PBI[[#This Row],[Profit]]/Order_Details_PBI[[#This Row],[Amount]]</f>
        <v>-8.6363636363636365E-2</v>
      </c>
      <c r="H167" t="str">
        <f>IF(Order_Details_PBI[[#This Row],[Profit Margine]]&lt;0," Loss",IF(Order_Details_PBI[[#This Row],[Profit Margine]]=0," Break-Even","Profit"))</f>
        <v xml:space="preserve"> Loss</v>
      </c>
      <c r="I167" s="2">
        <v>43342</v>
      </c>
      <c r="J167" t="s">
        <v>683</v>
      </c>
      <c r="K167" t="str">
        <f>UPPER(List_of_Orders_PBI[[#This Row],[CustomerName]])</f>
        <v>SURABHI</v>
      </c>
      <c r="L167" t="s">
        <v>545</v>
      </c>
      <c r="M167" t="s">
        <v>546</v>
      </c>
      <c r="N167" t="str">
        <f>TEXT(List_of_Orders_PBI[[#This Row],[Order Date]],"DD-MMM-YYYY")</f>
        <v>30-Aug-2018</v>
      </c>
      <c r="O167" t="str">
        <f>_xlfn.CONCAT(List_of_Orders_PBI[[#This Row],[City]] &amp;" - "&amp; List_of_Orders_PBI[[#This Row],[State]])</f>
        <v>Jaipur - Rajasthan</v>
      </c>
    </row>
    <row r="168" spans="1:15" x14ac:dyDescent="0.3">
      <c r="A168" t="s">
        <v>192</v>
      </c>
      <c r="B168">
        <v>299</v>
      </c>
      <c r="C168">
        <v>-28</v>
      </c>
      <c r="D168">
        <v>3</v>
      </c>
      <c r="E168" t="s">
        <v>12</v>
      </c>
      <c r="F168" t="s">
        <v>13</v>
      </c>
      <c r="G168">
        <f>Order_Details_PBI[[#This Row],[Profit]]/Order_Details_PBI[[#This Row],[Amount]]</f>
        <v>-9.3645484949832769E-2</v>
      </c>
      <c r="H168" t="str">
        <f>IF(Order_Details_PBI[[#This Row],[Profit Margine]]&lt;0," Loss",IF(Order_Details_PBI[[#This Row],[Profit Margine]]=0," Break-Even","Profit"))</f>
        <v xml:space="preserve"> Loss</v>
      </c>
      <c r="I168" s="2">
        <v>43343</v>
      </c>
      <c r="J168" t="s">
        <v>725</v>
      </c>
      <c r="K168" t="str">
        <f>UPPER(List_of_Orders_PBI[[#This Row],[CustomerName]])</f>
        <v>ASHMEET</v>
      </c>
      <c r="L168" t="s">
        <v>548</v>
      </c>
      <c r="M168" t="s">
        <v>549</v>
      </c>
      <c r="N168" t="str">
        <f>TEXT(List_of_Orders_PBI[[#This Row],[Order Date]],"DD-MMM-YYYY")</f>
        <v>31-Aug-2018</v>
      </c>
      <c r="O168" t="str">
        <f>_xlfn.CONCAT(List_of_Orders_PBI[[#This Row],[City]] &amp;" - "&amp; List_of_Orders_PBI[[#This Row],[State]])</f>
        <v>Kolkata - West Bengal</v>
      </c>
    </row>
    <row r="169" spans="1:15" x14ac:dyDescent="0.3">
      <c r="A169" t="s">
        <v>193</v>
      </c>
      <c r="B169">
        <v>1582</v>
      </c>
      <c r="C169">
        <v>-443</v>
      </c>
      <c r="D169">
        <v>6</v>
      </c>
      <c r="E169" t="s">
        <v>9</v>
      </c>
      <c r="F169" t="s">
        <v>18</v>
      </c>
      <c r="G169">
        <f>Order_Details_PBI[[#This Row],[Profit]]/Order_Details_PBI[[#This Row],[Amount]]</f>
        <v>-0.28002528445006319</v>
      </c>
      <c r="H169" t="str">
        <f>IF(Order_Details_PBI[[#This Row],[Profit Margine]]&lt;0," Loss",IF(Order_Details_PBI[[#This Row],[Profit Margine]]=0," Break-Even","Profit"))</f>
        <v xml:space="preserve"> Loss</v>
      </c>
      <c r="I169" s="2">
        <v>43344</v>
      </c>
      <c r="J169" t="s">
        <v>726</v>
      </c>
      <c r="K169" t="str">
        <f>UPPER(List_of_Orders_PBI[[#This Row],[CustomerName]])</f>
        <v>SHREYOSHE</v>
      </c>
      <c r="L169" t="s">
        <v>551</v>
      </c>
      <c r="M169" t="s">
        <v>552</v>
      </c>
      <c r="N169" t="str">
        <f>TEXT(List_of_Orders_PBI[[#This Row],[Order Date]],"DD-MMM-YYYY")</f>
        <v>01-Sep-2018</v>
      </c>
      <c r="O169" t="str">
        <f>_xlfn.CONCAT(List_of_Orders_PBI[[#This Row],[City]] &amp;" - "&amp; List_of_Orders_PBI[[#This Row],[State]])</f>
        <v>Bangalore - Karnataka</v>
      </c>
    </row>
    <row r="170" spans="1:15" x14ac:dyDescent="0.3">
      <c r="A170" t="s">
        <v>194</v>
      </c>
      <c r="B170">
        <v>355</v>
      </c>
      <c r="C170">
        <v>-4</v>
      </c>
      <c r="D170">
        <v>2</v>
      </c>
      <c r="E170" t="s">
        <v>9</v>
      </c>
      <c r="F170" t="s">
        <v>16</v>
      </c>
      <c r="G170">
        <f>Order_Details_PBI[[#This Row],[Profit]]/Order_Details_PBI[[#This Row],[Amount]]</f>
        <v>-1.1267605633802818E-2</v>
      </c>
      <c r="H170" t="str">
        <f>IF(Order_Details_PBI[[#This Row],[Profit Margine]]&lt;0," Loss",IF(Order_Details_PBI[[#This Row],[Profit Margine]]=0," Break-Even","Profit"))</f>
        <v xml:space="preserve"> Loss</v>
      </c>
      <c r="I170" s="2">
        <v>43345</v>
      </c>
      <c r="J170" t="s">
        <v>727</v>
      </c>
      <c r="K170" t="str">
        <f>UPPER(List_of_Orders_PBI[[#This Row],[CustomerName]])</f>
        <v>SURBHI</v>
      </c>
      <c r="L170" t="s">
        <v>539</v>
      </c>
      <c r="M170" t="s">
        <v>595</v>
      </c>
      <c r="N170" t="str">
        <f>TEXT(List_of_Orders_PBI[[#This Row],[Order Date]],"DD-MMM-YYYY")</f>
        <v>02-Sep-2018</v>
      </c>
      <c r="O170" t="str">
        <f>_xlfn.CONCAT(List_of_Orders_PBI[[#This Row],[City]] &amp;" - "&amp; List_of_Orders_PBI[[#This Row],[State]])</f>
        <v>Mumbai - Maharashtra</v>
      </c>
    </row>
    <row r="171" spans="1:15" x14ac:dyDescent="0.3">
      <c r="A171" t="s">
        <v>195</v>
      </c>
      <c r="B171">
        <v>375</v>
      </c>
      <c r="C171">
        <v>180</v>
      </c>
      <c r="D171">
        <v>3</v>
      </c>
      <c r="E171" t="s">
        <v>7</v>
      </c>
      <c r="F171" t="s">
        <v>8</v>
      </c>
      <c r="G171">
        <f>Order_Details_PBI[[#This Row],[Profit]]/Order_Details_PBI[[#This Row],[Amount]]</f>
        <v>0.48</v>
      </c>
      <c r="H171" t="str">
        <f>IF(Order_Details_PBI[[#This Row],[Profit Margine]]&lt;0," Loss",IF(Order_Details_PBI[[#This Row],[Profit Margine]]=0," Break-Even","Profit"))</f>
        <v>Profit</v>
      </c>
      <c r="I171" s="2">
        <v>43345</v>
      </c>
      <c r="J171" t="s">
        <v>678</v>
      </c>
      <c r="K171" t="str">
        <f>UPPER(List_of_Orders_PBI[[#This Row],[CustomerName]])</f>
        <v>SAKSHI</v>
      </c>
      <c r="L171" t="s">
        <v>542</v>
      </c>
      <c r="M171" t="s">
        <v>597</v>
      </c>
      <c r="N171" t="str">
        <f>TEXT(List_of_Orders_PBI[[#This Row],[Order Date]],"DD-MMM-YYYY")</f>
        <v>02-Sep-2018</v>
      </c>
      <c r="O171" t="str">
        <f>_xlfn.CONCAT(List_of_Orders_PBI[[#This Row],[City]] &amp;" - "&amp; List_of_Orders_PBI[[#This Row],[State]])</f>
        <v>Indore - Madhya Pradesh</v>
      </c>
    </row>
    <row r="172" spans="1:15" x14ac:dyDescent="0.3">
      <c r="A172" t="s">
        <v>196</v>
      </c>
      <c r="B172">
        <v>148</v>
      </c>
      <c r="C172">
        <v>59</v>
      </c>
      <c r="D172">
        <v>3</v>
      </c>
      <c r="E172" t="s">
        <v>9</v>
      </c>
      <c r="F172" t="s">
        <v>11</v>
      </c>
      <c r="G172">
        <f>Order_Details_PBI[[#This Row],[Profit]]/Order_Details_PBI[[#This Row],[Amount]]</f>
        <v>0.39864864864864863</v>
      </c>
      <c r="H172" t="str">
        <f>IF(Order_Details_PBI[[#This Row],[Profit Margine]]&lt;0," Loss",IF(Order_Details_PBI[[#This Row],[Profit Margine]]=0," Break-Even","Profit"))</f>
        <v>Profit</v>
      </c>
      <c r="I172" s="2">
        <v>43345</v>
      </c>
      <c r="J172" t="s">
        <v>728</v>
      </c>
      <c r="K172" t="str">
        <f>UPPER(List_of_Orders_PBI[[#This Row],[CustomerName]])</f>
        <v>VAIBHAVI</v>
      </c>
      <c r="L172" t="s">
        <v>560</v>
      </c>
      <c r="M172" t="s">
        <v>561</v>
      </c>
      <c r="N172" t="str">
        <f>TEXT(List_of_Orders_PBI[[#This Row],[Order Date]],"DD-MMM-YYYY")</f>
        <v>02-Sep-2018</v>
      </c>
      <c r="O172" t="str">
        <f>_xlfn.CONCAT(List_of_Orders_PBI[[#This Row],[City]] &amp;" - "&amp; List_of_Orders_PBI[[#This Row],[State]])</f>
        <v>Lucknow - Uttar Pradesh</v>
      </c>
    </row>
    <row r="173" spans="1:15" x14ac:dyDescent="0.3">
      <c r="A173" t="s">
        <v>197</v>
      </c>
      <c r="B173">
        <v>1183</v>
      </c>
      <c r="C173">
        <v>106</v>
      </c>
      <c r="D173">
        <v>4</v>
      </c>
      <c r="E173" t="s">
        <v>12</v>
      </c>
      <c r="F173" t="s">
        <v>30</v>
      </c>
      <c r="G173">
        <f>Order_Details_PBI[[#This Row],[Profit]]/Order_Details_PBI[[#This Row],[Amount]]</f>
        <v>8.960270498732037E-2</v>
      </c>
      <c r="H173" t="str">
        <f>IF(Order_Details_PBI[[#This Row],[Profit Margine]]&lt;0," Loss",IF(Order_Details_PBI[[#This Row],[Profit Margine]]=0," Break-Even","Profit"))</f>
        <v>Profit</v>
      </c>
      <c r="I173" s="2">
        <v>43345</v>
      </c>
      <c r="J173" t="s">
        <v>729</v>
      </c>
      <c r="K173" t="str">
        <f>UPPER(List_of_Orders_PBI[[#This Row],[CustomerName]])</f>
        <v>SANJANA</v>
      </c>
      <c r="L173" t="s">
        <v>563</v>
      </c>
      <c r="M173" t="s">
        <v>564</v>
      </c>
      <c r="N173" t="str">
        <f>TEXT(List_of_Orders_PBI[[#This Row],[Order Date]],"DD-MMM-YYYY")</f>
        <v>02-Sep-2018</v>
      </c>
      <c r="O173" t="str">
        <f>_xlfn.CONCAT(List_of_Orders_PBI[[#This Row],[City]] &amp;" - "&amp; List_of_Orders_PBI[[#This Row],[State]])</f>
        <v>Patna - Bihar</v>
      </c>
    </row>
    <row r="174" spans="1:15" x14ac:dyDescent="0.3">
      <c r="A174" t="s">
        <v>198</v>
      </c>
      <c r="B174">
        <v>248</v>
      </c>
      <c r="C174">
        <v>-70</v>
      </c>
      <c r="D174">
        <v>3</v>
      </c>
      <c r="E174" t="s">
        <v>7</v>
      </c>
      <c r="F174" t="s">
        <v>19</v>
      </c>
      <c r="G174">
        <f>Order_Details_PBI[[#This Row],[Profit]]/Order_Details_PBI[[#This Row],[Amount]]</f>
        <v>-0.28225806451612906</v>
      </c>
      <c r="H174" t="str">
        <f>IF(Order_Details_PBI[[#This Row],[Profit Margine]]&lt;0," Loss",IF(Order_Details_PBI[[#This Row],[Profit Margine]]=0," Break-Even","Profit"))</f>
        <v xml:space="preserve"> Loss</v>
      </c>
      <c r="I174" s="2">
        <v>43349</v>
      </c>
      <c r="J174" t="s">
        <v>645</v>
      </c>
      <c r="K174" t="str">
        <f>UPPER(List_of_Orders_PBI[[#This Row],[CustomerName]])</f>
        <v>SHREYA</v>
      </c>
      <c r="L174" t="s">
        <v>566</v>
      </c>
      <c r="M174" t="s">
        <v>567</v>
      </c>
      <c r="N174" t="str">
        <f>TEXT(List_of_Orders_PBI[[#This Row],[Order Date]],"DD-MMM-YYYY")</f>
        <v>06-Sep-2018</v>
      </c>
      <c r="O174" t="str">
        <f>_xlfn.CONCAT(List_of_Orders_PBI[[#This Row],[City]] &amp;" - "&amp; List_of_Orders_PBI[[#This Row],[State]])</f>
        <v xml:space="preserve">Thiruvananthapuram - Kerala </v>
      </c>
    </row>
    <row r="175" spans="1:15" x14ac:dyDescent="0.3">
      <c r="A175" t="s">
        <v>199</v>
      </c>
      <c r="B175">
        <v>38</v>
      </c>
      <c r="C175">
        <v>-6</v>
      </c>
      <c r="D175">
        <v>2</v>
      </c>
      <c r="E175" t="s">
        <v>7</v>
      </c>
      <c r="F175" t="s">
        <v>34</v>
      </c>
      <c r="G175">
        <f>Order_Details_PBI[[#This Row],[Profit]]/Order_Details_PBI[[#This Row],[Amount]]</f>
        <v>-0.15789473684210525</v>
      </c>
      <c r="H175" t="str">
        <f>IF(Order_Details_PBI[[#This Row],[Profit Margine]]&lt;0," Loss",IF(Order_Details_PBI[[#This Row],[Profit Margine]]=0," Break-Even","Profit"))</f>
        <v xml:space="preserve"> Loss</v>
      </c>
      <c r="I175" s="2">
        <v>43350</v>
      </c>
      <c r="J175" t="s">
        <v>730</v>
      </c>
      <c r="K175" t="str">
        <f>UPPER(List_of_Orders_PBI[[#This Row],[CustomerName]])</f>
        <v>SNEHAL</v>
      </c>
      <c r="L175" t="s">
        <v>569</v>
      </c>
      <c r="M175" t="s">
        <v>570</v>
      </c>
      <c r="N175" t="str">
        <f>TEXT(List_of_Orders_PBI[[#This Row],[Order Date]],"DD-MMM-YYYY")</f>
        <v>07-Sep-2018</v>
      </c>
      <c r="O175" t="str">
        <f>_xlfn.CONCAT(List_of_Orders_PBI[[#This Row],[City]] &amp;" - "&amp; List_of_Orders_PBI[[#This Row],[State]])</f>
        <v>Chandigarh - Punjab</v>
      </c>
    </row>
    <row r="176" spans="1:15" x14ac:dyDescent="0.3">
      <c r="A176" t="s">
        <v>200</v>
      </c>
      <c r="B176">
        <v>50</v>
      </c>
      <c r="C176">
        <v>-17</v>
      </c>
      <c r="D176">
        <v>2</v>
      </c>
      <c r="E176" t="s">
        <v>9</v>
      </c>
      <c r="F176" t="s">
        <v>10</v>
      </c>
      <c r="G176">
        <f>Order_Details_PBI[[#This Row],[Profit]]/Order_Details_PBI[[#This Row],[Amount]]</f>
        <v>-0.34</v>
      </c>
      <c r="H176" t="str">
        <f>IF(Order_Details_PBI[[#This Row],[Profit Margine]]&lt;0," Loss",IF(Order_Details_PBI[[#This Row],[Profit Margine]]=0," Break-Even","Profit"))</f>
        <v xml:space="preserve"> Loss</v>
      </c>
      <c r="I176" s="2">
        <v>43351</v>
      </c>
      <c r="J176" t="s">
        <v>731</v>
      </c>
      <c r="K176" t="str">
        <f>UPPER(List_of_Orders_PBI[[#This Row],[CustomerName]])</f>
        <v>DUHITA</v>
      </c>
      <c r="L176" t="s">
        <v>572</v>
      </c>
      <c r="M176" t="s">
        <v>570</v>
      </c>
      <c r="N176" t="str">
        <f>TEXT(List_of_Orders_PBI[[#This Row],[Order Date]],"DD-MMM-YYYY")</f>
        <v>08-Sep-2018</v>
      </c>
      <c r="O176" t="str">
        <f>_xlfn.CONCAT(List_of_Orders_PBI[[#This Row],[City]] &amp;" - "&amp; List_of_Orders_PBI[[#This Row],[State]])</f>
        <v>Chandigarh - Haryana</v>
      </c>
    </row>
    <row r="177" spans="1:15" x14ac:dyDescent="0.3">
      <c r="A177" t="s">
        <v>201</v>
      </c>
      <c r="B177">
        <v>47</v>
      </c>
      <c r="C177">
        <v>-20</v>
      </c>
      <c r="D177">
        <v>2</v>
      </c>
      <c r="E177" t="s">
        <v>9</v>
      </c>
      <c r="F177" t="s">
        <v>20</v>
      </c>
      <c r="G177">
        <f>Order_Details_PBI[[#This Row],[Profit]]/Order_Details_PBI[[#This Row],[Amount]]</f>
        <v>-0.42553191489361702</v>
      </c>
      <c r="H177" t="str">
        <f>IF(Order_Details_PBI[[#This Row],[Profit Margine]]&lt;0," Loss",IF(Order_Details_PBI[[#This Row],[Profit Margine]]=0," Break-Even","Profit"))</f>
        <v xml:space="preserve"> Loss</v>
      </c>
      <c r="I177" s="2">
        <v>43352</v>
      </c>
      <c r="J177" t="s">
        <v>732</v>
      </c>
      <c r="K177" t="str">
        <f>UPPER(List_of_Orders_PBI[[#This Row],[CustomerName]])</f>
        <v>MOUSAM</v>
      </c>
      <c r="L177" t="s">
        <v>539</v>
      </c>
      <c r="M177" t="s">
        <v>595</v>
      </c>
      <c r="N177" t="str">
        <f>TEXT(List_of_Orders_PBI[[#This Row],[Order Date]],"DD-MMM-YYYY")</f>
        <v>09-Sep-2018</v>
      </c>
      <c r="O177" t="str">
        <f>_xlfn.CONCAT(List_of_Orders_PBI[[#This Row],[City]] &amp;" - "&amp; List_of_Orders_PBI[[#This Row],[State]])</f>
        <v>Mumbai - Maharashtra</v>
      </c>
    </row>
    <row r="178" spans="1:15" x14ac:dyDescent="0.3">
      <c r="A178" t="s">
        <v>202</v>
      </c>
      <c r="B178">
        <v>61</v>
      </c>
      <c r="C178">
        <v>-25</v>
      </c>
      <c r="D178">
        <v>4</v>
      </c>
      <c r="E178" t="s">
        <v>12</v>
      </c>
      <c r="F178" t="s">
        <v>33</v>
      </c>
      <c r="G178">
        <f>Order_Details_PBI[[#This Row],[Profit]]/Order_Details_PBI[[#This Row],[Amount]]</f>
        <v>-0.4098360655737705</v>
      </c>
      <c r="H178" t="str">
        <f>IF(Order_Details_PBI[[#This Row],[Profit Margine]]&lt;0," Loss",IF(Order_Details_PBI[[#This Row],[Profit Margine]]=0," Break-Even","Profit"))</f>
        <v xml:space="preserve"> Loss</v>
      </c>
      <c r="I178" s="2">
        <v>43353</v>
      </c>
      <c r="J178" t="s">
        <v>733</v>
      </c>
      <c r="K178" t="str">
        <f>UPPER(List_of_Orders_PBI[[#This Row],[CustomerName]])</f>
        <v>ADITI</v>
      </c>
      <c r="L178" t="s">
        <v>542</v>
      </c>
      <c r="M178" t="s">
        <v>597</v>
      </c>
      <c r="N178" t="str">
        <f>TEXT(List_of_Orders_PBI[[#This Row],[Order Date]],"DD-MMM-YYYY")</f>
        <v>10-Sep-2018</v>
      </c>
      <c r="O178" t="str">
        <f>_xlfn.CONCAT(List_of_Orders_PBI[[#This Row],[City]] &amp;" - "&amp; List_of_Orders_PBI[[#This Row],[State]])</f>
        <v>Indore - Madhya Pradesh</v>
      </c>
    </row>
    <row r="179" spans="1:15" x14ac:dyDescent="0.3">
      <c r="A179" t="s">
        <v>203</v>
      </c>
      <c r="B179">
        <v>1506</v>
      </c>
      <c r="C179">
        <v>-266</v>
      </c>
      <c r="D179">
        <v>6</v>
      </c>
      <c r="E179" t="s">
        <v>12</v>
      </c>
      <c r="F179" t="s">
        <v>30</v>
      </c>
      <c r="G179">
        <f>Order_Details_PBI[[#This Row],[Profit]]/Order_Details_PBI[[#This Row],[Amount]]</f>
        <v>-0.17662682602921648</v>
      </c>
      <c r="H179" t="str">
        <f>IF(Order_Details_PBI[[#This Row],[Profit Margine]]&lt;0," Loss",IF(Order_Details_PBI[[#This Row],[Profit Margine]]=0," Break-Even","Profit"))</f>
        <v xml:space="preserve"> Loss</v>
      </c>
      <c r="I179" s="2">
        <v>43354</v>
      </c>
      <c r="J179" t="s">
        <v>683</v>
      </c>
      <c r="K179" t="str">
        <f>UPPER(List_of_Orders_PBI[[#This Row],[CustomerName]])</f>
        <v>SURABHI</v>
      </c>
      <c r="L179" t="s">
        <v>539</v>
      </c>
      <c r="M179" t="s">
        <v>595</v>
      </c>
      <c r="N179" t="str">
        <f>TEXT(List_of_Orders_PBI[[#This Row],[Order Date]],"DD-MMM-YYYY")</f>
        <v>11-Sep-2018</v>
      </c>
      <c r="O179" t="str">
        <f>_xlfn.CONCAT(List_of_Orders_PBI[[#This Row],[City]] &amp;" - "&amp; List_of_Orders_PBI[[#This Row],[State]])</f>
        <v>Mumbai - Maharashtra</v>
      </c>
    </row>
    <row r="180" spans="1:15" x14ac:dyDescent="0.3">
      <c r="A180" t="s">
        <v>204</v>
      </c>
      <c r="B180">
        <v>1361</v>
      </c>
      <c r="C180">
        <v>-980</v>
      </c>
      <c r="D180">
        <v>3</v>
      </c>
      <c r="E180" t="s">
        <v>7</v>
      </c>
      <c r="F180" t="s">
        <v>29</v>
      </c>
      <c r="G180">
        <f>Order_Details_PBI[[#This Row],[Profit]]/Order_Details_PBI[[#This Row],[Amount]]</f>
        <v>-0.7200587803085966</v>
      </c>
      <c r="H180" t="str">
        <f>IF(Order_Details_PBI[[#This Row],[Profit Margine]]&lt;0," Loss",IF(Order_Details_PBI[[#This Row],[Profit Margine]]=0," Break-Even","Profit"))</f>
        <v xml:space="preserve"> Loss</v>
      </c>
      <c r="I180" s="2">
        <v>43355</v>
      </c>
      <c r="J180" t="s">
        <v>734</v>
      </c>
      <c r="K180" t="str">
        <f>UPPER(List_of_Orders_PBI[[#This Row],[CustomerName]])</f>
        <v>SAVI</v>
      </c>
      <c r="L180" t="s">
        <v>542</v>
      </c>
      <c r="M180" t="s">
        <v>597</v>
      </c>
      <c r="N180" t="str">
        <f>TEXT(List_of_Orders_PBI[[#This Row],[Order Date]],"DD-MMM-YYYY")</f>
        <v>12-Sep-2018</v>
      </c>
      <c r="O180" t="str">
        <f>_xlfn.CONCAT(List_of_Orders_PBI[[#This Row],[City]] &amp;" - "&amp; List_of_Orders_PBI[[#This Row],[State]])</f>
        <v>Indore - Madhya Pradesh</v>
      </c>
    </row>
    <row r="181" spans="1:15" x14ac:dyDescent="0.3">
      <c r="A181" t="s">
        <v>205</v>
      </c>
      <c r="B181">
        <v>137</v>
      </c>
      <c r="C181">
        <v>-41</v>
      </c>
      <c r="D181">
        <v>3</v>
      </c>
      <c r="E181" t="s">
        <v>12</v>
      </c>
      <c r="F181" t="s">
        <v>15</v>
      </c>
      <c r="G181">
        <f>Order_Details_PBI[[#This Row],[Profit]]/Order_Details_PBI[[#This Row],[Amount]]</f>
        <v>-0.29927007299270075</v>
      </c>
      <c r="H181" t="str">
        <f>IF(Order_Details_PBI[[#This Row],[Profit Margine]]&lt;0," Loss",IF(Order_Details_PBI[[#This Row],[Profit Margine]]=0," Break-Even","Profit"))</f>
        <v xml:space="preserve"> Loss</v>
      </c>
      <c r="I181" s="2">
        <v>43356</v>
      </c>
      <c r="J181" t="s">
        <v>735</v>
      </c>
      <c r="K181" t="str">
        <f>UPPER(List_of_Orders_PBI[[#This Row],[CustomerName]])</f>
        <v>TEENA</v>
      </c>
      <c r="L181" t="s">
        <v>585</v>
      </c>
      <c r="M181" t="s">
        <v>586</v>
      </c>
      <c r="N181" t="str">
        <f>TEXT(List_of_Orders_PBI[[#This Row],[Order Date]],"DD-MMM-YYYY")</f>
        <v>13-Sep-2018</v>
      </c>
      <c r="O181" t="str">
        <f>_xlfn.CONCAT(List_of_Orders_PBI[[#This Row],[City]] &amp;" - "&amp; List_of_Orders_PBI[[#This Row],[State]])</f>
        <v>Hyderabad - Andhra Pradesh</v>
      </c>
    </row>
    <row r="182" spans="1:15" x14ac:dyDescent="0.3">
      <c r="A182" t="s">
        <v>206</v>
      </c>
      <c r="B182">
        <v>60</v>
      </c>
      <c r="C182">
        <v>-49</v>
      </c>
      <c r="D182">
        <v>8</v>
      </c>
      <c r="E182" t="s">
        <v>9</v>
      </c>
      <c r="F182" t="s">
        <v>11</v>
      </c>
      <c r="G182">
        <f>Order_Details_PBI[[#This Row],[Profit]]/Order_Details_PBI[[#This Row],[Amount]]</f>
        <v>-0.81666666666666665</v>
      </c>
      <c r="H182" t="str">
        <f>IF(Order_Details_PBI[[#This Row],[Profit Margine]]&lt;0," Loss",IF(Order_Details_PBI[[#This Row],[Profit Margine]]=0," Break-Even","Profit"))</f>
        <v xml:space="preserve"> Loss</v>
      </c>
      <c r="I182" s="2">
        <v>43357</v>
      </c>
      <c r="J182" t="s">
        <v>736</v>
      </c>
      <c r="K182" t="str">
        <f>UPPER(List_of_Orders_PBI[[#This Row],[CustomerName]])</f>
        <v>RUTUJA</v>
      </c>
      <c r="L182" t="s">
        <v>536</v>
      </c>
      <c r="M182" t="s">
        <v>537</v>
      </c>
      <c r="N182" t="str">
        <f>TEXT(List_of_Orders_PBI[[#This Row],[Order Date]],"DD-MMM-YYYY")</f>
        <v>14-Sep-2018</v>
      </c>
      <c r="O182" t="str">
        <f>_xlfn.CONCAT(List_of_Orders_PBI[[#This Row],[City]] &amp;" - "&amp; List_of_Orders_PBI[[#This Row],[State]])</f>
        <v>Ahmedabad - Gujarat</v>
      </c>
    </row>
    <row r="183" spans="1:15" x14ac:dyDescent="0.3">
      <c r="A183" t="s">
        <v>207</v>
      </c>
      <c r="B183">
        <v>335</v>
      </c>
      <c r="C183">
        <v>-22</v>
      </c>
      <c r="D183">
        <v>7</v>
      </c>
      <c r="E183" t="s">
        <v>7</v>
      </c>
      <c r="F183" t="s">
        <v>19</v>
      </c>
      <c r="G183">
        <f>Order_Details_PBI[[#This Row],[Profit]]/Order_Details_PBI[[#This Row],[Amount]]</f>
        <v>-6.5671641791044774E-2</v>
      </c>
      <c r="H183" t="str">
        <f>IF(Order_Details_PBI[[#This Row],[Profit Margine]]&lt;0," Loss",IF(Order_Details_PBI[[#This Row],[Profit Margine]]=0," Break-Even","Profit"))</f>
        <v xml:space="preserve"> Loss</v>
      </c>
      <c r="I183" s="2">
        <v>43358</v>
      </c>
      <c r="J183" t="s">
        <v>650</v>
      </c>
      <c r="K183" t="str">
        <f>UPPER(List_of_Orders_PBI[[#This Row],[CustomerName]])</f>
        <v>AAYUSHI</v>
      </c>
      <c r="L183" t="s">
        <v>539</v>
      </c>
      <c r="M183" t="s">
        <v>595</v>
      </c>
      <c r="N183" t="str">
        <f>TEXT(List_of_Orders_PBI[[#This Row],[Order Date]],"DD-MMM-YYYY")</f>
        <v>15-Sep-2018</v>
      </c>
      <c r="O183" t="str">
        <f>_xlfn.CONCAT(List_of_Orders_PBI[[#This Row],[City]] &amp;" - "&amp; List_of_Orders_PBI[[#This Row],[State]])</f>
        <v>Mumbai - Maharashtra</v>
      </c>
    </row>
    <row r="184" spans="1:15" x14ac:dyDescent="0.3">
      <c r="A184" t="s">
        <v>208</v>
      </c>
      <c r="B184">
        <v>25</v>
      </c>
      <c r="C184">
        <v>-11</v>
      </c>
      <c r="D184">
        <v>1</v>
      </c>
      <c r="E184" t="s">
        <v>9</v>
      </c>
      <c r="F184" t="s">
        <v>10</v>
      </c>
      <c r="G184">
        <f>Order_Details_PBI[[#This Row],[Profit]]/Order_Details_PBI[[#This Row],[Amount]]</f>
        <v>-0.44</v>
      </c>
      <c r="H184" t="str">
        <f>IF(Order_Details_PBI[[#This Row],[Profit Margine]]&lt;0," Loss",IF(Order_Details_PBI[[#This Row],[Profit Margine]]=0," Break-Even","Profit"))</f>
        <v xml:space="preserve"> Loss</v>
      </c>
      <c r="I184" s="2">
        <v>43358</v>
      </c>
      <c r="J184" t="s">
        <v>737</v>
      </c>
      <c r="K184" t="str">
        <f>UPPER(List_of_Orders_PBI[[#This Row],[CustomerName]])</f>
        <v>SHIVANGI</v>
      </c>
      <c r="L184" t="s">
        <v>542</v>
      </c>
      <c r="M184" t="s">
        <v>597</v>
      </c>
      <c r="N184" t="str">
        <f>TEXT(List_of_Orders_PBI[[#This Row],[Order Date]],"DD-MMM-YYYY")</f>
        <v>15-Sep-2018</v>
      </c>
      <c r="O184" t="str">
        <f>_xlfn.CONCAT(List_of_Orders_PBI[[#This Row],[City]] &amp;" - "&amp; List_of_Orders_PBI[[#This Row],[State]])</f>
        <v>Indore - Madhya Pradesh</v>
      </c>
    </row>
    <row r="185" spans="1:15" x14ac:dyDescent="0.3">
      <c r="A185" t="s">
        <v>209</v>
      </c>
      <c r="B185">
        <v>15</v>
      </c>
      <c r="C185">
        <v>4</v>
      </c>
      <c r="D185">
        <v>1</v>
      </c>
      <c r="E185" t="s">
        <v>9</v>
      </c>
      <c r="F185" t="s">
        <v>11</v>
      </c>
      <c r="G185">
        <f>Order_Details_PBI[[#This Row],[Profit]]/Order_Details_PBI[[#This Row],[Amount]]</f>
        <v>0.26666666666666666</v>
      </c>
      <c r="H185" t="str">
        <f>IF(Order_Details_PBI[[#This Row],[Profit Margine]]&lt;0," Loss",IF(Order_Details_PBI[[#This Row],[Profit Margine]]=0," Break-Even","Profit"))</f>
        <v>Profit</v>
      </c>
      <c r="I185" s="2">
        <v>43358</v>
      </c>
      <c r="J185" t="s">
        <v>738</v>
      </c>
      <c r="K185" t="str">
        <f>UPPER(List_of_Orders_PBI[[#This Row],[CustomerName]])</f>
        <v>ROHIT</v>
      </c>
      <c r="L185" t="s">
        <v>545</v>
      </c>
      <c r="M185" t="s">
        <v>546</v>
      </c>
      <c r="N185" t="str">
        <f>TEXT(List_of_Orders_PBI[[#This Row],[Order Date]],"DD-MMM-YYYY")</f>
        <v>15-Sep-2018</v>
      </c>
      <c r="O185" t="str">
        <f>_xlfn.CONCAT(List_of_Orders_PBI[[#This Row],[City]] &amp;" - "&amp; List_of_Orders_PBI[[#This Row],[State]])</f>
        <v>Jaipur - Rajasthan</v>
      </c>
    </row>
    <row r="186" spans="1:15" x14ac:dyDescent="0.3">
      <c r="A186" t="s">
        <v>210</v>
      </c>
      <c r="B186">
        <v>595</v>
      </c>
      <c r="C186">
        <v>292</v>
      </c>
      <c r="D186">
        <v>3</v>
      </c>
      <c r="E186" t="s">
        <v>9</v>
      </c>
      <c r="F186" t="s">
        <v>16</v>
      </c>
      <c r="G186">
        <f>Order_Details_PBI[[#This Row],[Profit]]/Order_Details_PBI[[#This Row],[Amount]]</f>
        <v>0.49075630252100838</v>
      </c>
      <c r="H186" t="str">
        <f>IF(Order_Details_PBI[[#This Row],[Profit Margine]]&lt;0," Loss",IF(Order_Details_PBI[[#This Row],[Profit Margine]]=0," Break-Even","Profit"))</f>
        <v>Profit</v>
      </c>
      <c r="I186" s="2">
        <v>43358</v>
      </c>
      <c r="J186" t="s">
        <v>702</v>
      </c>
      <c r="K186" t="str">
        <f>UPPER(List_of_Orders_PBI[[#This Row],[CustomerName]])</f>
        <v>AYUSH</v>
      </c>
      <c r="L186" t="s">
        <v>548</v>
      </c>
      <c r="M186" t="s">
        <v>549</v>
      </c>
      <c r="N186" t="str">
        <f>TEXT(List_of_Orders_PBI[[#This Row],[Order Date]],"DD-MMM-YYYY")</f>
        <v>15-Sep-2018</v>
      </c>
      <c r="O186" t="str">
        <f>_xlfn.CONCAT(List_of_Orders_PBI[[#This Row],[City]] &amp;" - "&amp; List_of_Orders_PBI[[#This Row],[State]])</f>
        <v>Kolkata - West Bengal</v>
      </c>
    </row>
    <row r="187" spans="1:15" x14ac:dyDescent="0.3">
      <c r="A187" t="s">
        <v>211</v>
      </c>
      <c r="B187">
        <v>1854</v>
      </c>
      <c r="C187">
        <v>433</v>
      </c>
      <c r="D187">
        <v>5</v>
      </c>
      <c r="E187" t="s">
        <v>7</v>
      </c>
      <c r="F187" t="s">
        <v>8</v>
      </c>
      <c r="G187">
        <f>Order_Details_PBI[[#This Row],[Profit]]/Order_Details_PBI[[#This Row],[Amount]]</f>
        <v>0.23354908306364616</v>
      </c>
      <c r="H187" t="str">
        <f>IF(Order_Details_PBI[[#This Row],[Profit Margine]]&lt;0," Loss",IF(Order_Details_PBI[[#This Row],[Profit Margine]]=0," Break-Even","Profit"))</f>
        <v>Profit</v>
      </c>
      <c r="I187" s="2">
        <v>43362</v>
      </c>
      <c r="J187" t="s">
        <v>739</v>
      </c>
      <c r="K187" t="str">
        <f>UPPER(List_of_Orders_PBI[[#This Row],[CustomerName]])</f>
        <v>ABHISHEK</v>
      </c>
      <c r="L187" t="s">
        <v>551</v>
      </c>
      <c r="M187" t="s">
        <v>552</v>
      </c>
      <c r="N187" t="str">
        <f>TEXT(List_of_Orders_PBI[[#This Row],[Order Date]],"DD-MMM-YYYY")</f>
        <v>19-Sep-2018</v>
      </c>
      <c r="O187" t="str">
        <f>_xlfn.CONCAT(List_of_Orders_PBI[[#This Row],[City]] &amp;" - "&amp; List_of_Orders_PBI[[#This Row],[State]])</f>
        <v>Bangalore - Karnataka</v>
      </c>
    </row>
    <row r="188" spans="1:15" x14ac:dyDescent="0.3">
      <c r="A188" t="s">
        <v>212</v>
      </c>
      <c r="B188">
        <v>556</v>
      </c>
      <c r="C188">
        <v>-209</v>
      </c>
      <c r="D188">
        <v>7</v>
      </c>
      <c r="E188" t="s">
        <v>9</v>
      </c>
      <c r="F188" t="s">
        <v>16</v>
      </c>
      <c r="G188">
        <f>Order_Details_PBI[[#This Row],[Profit]]/Order_Details_PBI[[#This Row],[Amount]]</f>
        <v>-0.37589928057553956</v>
      </c>
      <c r="H188" t="str">
        <f>IF(Order_Details_PBI[[#This Row],[Profit Margine]]&lt;0," Loss",IF(Order_Details_PBI[[#This Row],[Profit Margine]]=0," Break-Even","Profit"))</f>
        <v xml:space="preserve"> Loss</v>
      </c>
      <c r="I188" s="2">
        <v>43363</v>
      </c>
      <c r="J188" t="s">
        <v>740</v>
      </c>
      <c r="K188" t="str">
        <f>UPPER(List_of_Orders_PBI[[#This Row],[CustomerName]])</f>
        <v>ASISH</v>
      </c>
      <c r="L188" t="s">
        <v>554</v>
      </c>
      <c r="M188" t="s">
        <v>555</v>
      </c>
      <c r="N188" t="str">
        <f>TEXT(List_of_Orders_PBI[[#This Row],[Order Date]],"DD-MMM-YYYY")</f>
        <v>20-Sep-2018</v>
      </c>
      <c r="O188" t="str">
        <f>_xlfn.CONCAT(List_of_Orders_PBI[[#This Row],[City]] &amp;" - "&amp; List_of_Orders_PBI[[#This Row],[State]])</f>
        <v>Kashmir - Jammu and Kashmir</v>
      </c>
    </row>
    <row r="189" spans="1:15" x14ac:dyDescent="0.3">
      <c r="A189" t="s">
        <v>213</v>
      </c>
      <c r="B189">
        <v>12</v>
      </c>
      <c r="C189">
        <v>3</v>
      </c>
      <c r="D189">
        <v>1</v>
      </c>
      <c r="E189" t="s">
        <v>9</v>
      </c>
      <c r="F189" t="s">
        <v>10</v>
      </c>
      <c r="G189">
        <f>Order_Details_PBI[[#This Row],[Profit]]/Order_Details_PBI[[#This Row],[Amount]]</f>
        <v>0.25</v>
      </c>
      <c r="H189" t="str">
        <f>IF(Order_Details_PBI[[#This Row],[Profit Margine]]&lt;0," Loss",IF(Order_Details_PBI[[#This Row],[Profit Margine]]=0," Break-Even","Profit"))</f>
        <v>Profit</v>
      </c>
      <c r="I189" s="2">
        <v>43364</v>
      </c>
      <c r="J189" t="s">
        <v>741</v>
      </c>
      <c r="K189" t="str">
        <f>UPPER(List_of_Orders_PBI[[#This Row],[CustomerName]])</f>
        <v>DINESH</v>
      </c>
      <c r="L189" t="s">
        <v>557</v>
      </c>
      <c r="M189" t="s">
        <v>558</v>
      </c>
      <c r="N189" t="str">
        <f>TEXT(List_of_Orders_PBI[[#This Row],[Order Date]],"DD-MMM-YYYY")</f>
        <v>21-Sep-2018</v>
      </c>
      <c r="O189" t="str">
        <f>_xlfn.CONCAT(List_of_Orders_PBI[[#This Row],[City]] &amp;" - "&amp; List_of_Orders_PBI[[#This Row],[State]])</f>
        <v>Chennai - Tamil Nadu</v>
      </c>
    </row>
    <row r="190" spans="1:15" x14ac:dyDescent="0.3">
      <c r="A190" t="s">
        <v>214</v>
      </c>
      <c r="B190">
        <v>30</v>
      </c>
      <c r="C190">
        <v>0</v>
      </c>
      <c r="D190">
        <v>1</v>
      </c>
      <c r="E190" t="s">
        <v>9</v>
      </c>
      <c r="F190" t="s">
        <v>20</v>
      </c>
      <c r="G190">
        <f>Order_Details_PBI[[#This Row],[Profit]]/Order_Details_PBI[[#This Row],[Amount]]</f>
        <v>0</v>
      </c>
      <c r="H190" t="str">
        <f>IF(Order_Details_PBI[[#This Row],[Profit Margine]]&lt;0," Loss",IF(Order_Details_PBI[[#This Row],[Profit Margine]]=0," Break-Even","Profit"))</f>
        <v xml:space="preserve"> Break-Even</v>
      </c>
      <c r="I190" s="2">
        <v>43365</v>
      </c>
      <c r="J190" t="s">
        <v>716</v>
      </c>
      <c r="K190" t="str">
        <f>UPPER(List_of_Orders_PBI[[#This Row],[CustomerName]])</f>
        <v>AKSHAY</v>
      </c>
      <c r="L190" t="s">
        <v>560</v>
      </c>
      <c r="M190" t="s">
        <v>561</v>
      </c>
      <c r="N190" t="str">
        <f>TEXT(List_of_Orders_PBI[[#This Row],[Order Date]],"DD-MMM-YYYY")</f>
        <v>22-Sep-2018</v>
      </c>
      <c r="O190" t="str">
        <f>_xlfn.CONCAT(List_of_Orders_PBI[[#This Row],[City]] &amp;" - "&amp; List_of_Orders_PBI[[#This Row],[State]])</f>
        <v>Lucknow - Uttar Pradesh</v>
      </c>
    </row>
    <row r="191" spans="1:15" x14ac:dyDescent="0.3">
      <c r="A191" t="s">
        <v>215</v>
      </c>
      <c r="B191">
        <v>42</v>
      </c>
      <c r="C191">
        <v>-3</v>
      </c>
      <c r="D191">
        <v>1</v>
      </c>
      <c r="E191" t="s">
        <v>12</v>
      </c>
      <c r="F191" t="s">
        <v>13</v>
      </c>
      <c r="G191">
        <f>Order_Details_PBI[[#This Row],[Profit]]/Order_Details_PBI[[#This Row],[Amount]]</f>
        <v>-7.1428571428571425E-2</v>
      </c>
      <c r="H191" t="str">
        <f>IF(Order_Details_PBI[[#This Row],[Profit Margine]]&lt;0," Loss",IF(Order_Details_PBI[[#This Row],[Profit Margine]]=0," Break-Even","Profit"))</f>
        <v xml:space="preserve"> Loss</v>
      </c>
      <c r="I191" s="2">
        <v>43366</v>
      </c>
      <c r="J191" t="s">
        <v>742</v>
      </c>
      <c r="K191" t="str">
        <f>UPPER(List_of_Orders_PBI[[#This Row],[CustomerName]])</f>
        <v>SAJAL</v>
      </c>
      <c r="L191" t="s">
        <v>563</v>
      </c>
      <c r="M191" t="s">
        <v>564</v>
      </c>
      <c r="N191" t="str">
        <f>TEXT(List_of_Orders_PBI[[#This Row],[Order Date]],"DD-MMM-YYYY")</f>
        <v>23-Sep-2018</v>
      </c>
      <c r="O191" t="str">
        <f>_xlfn.CONCAT(List_of_Orders_PBI[[#This Row],[City]] &amp;" - "&amp; List_of_Orders_PBI[[#This Row],[State]])</f>
        <v>Patna - Bihar</v>
      </c>
    </row>
    <row r="192" spans="1:15" x14ac:dyDescent="0.3">
      <c r="A192" t="s">
        <v>216</v>
      </c>
      <c r="B192">
        <v>253</v>
      </c>
      <c r="C192">
        <v>-63</v>
      </c>
      <c r="D192">
        <v>2</v>
      </c>
      <c r="E192" t="s">
        <v>9</v>
      </c>
      <c r="F192" t="s">
        <v>16</v>
      </c>
      <c r="G192">
        <f>Order_Details_PBI[[#This Row],[Profit]]/Order_Details_PBI[[#This Row],[Amount]]</f>
        <v>-0.24901185770750989</v>
      </c>
      <c r="H192" t="str">
        <f>IF(Order_Details_PBI[[#This Row],[Profit Margine]]&lt;0," Loss",IF(Order_Details_PBI[[#This Row],[Profit Margine]]=0," Break-Even","Profit"))</f>
        <v xml:space="preserve"> Loss</v>
      </c>
      <c r="I192" s="2">
        <v>43367</v>
      </c>
      <c r="J192" t="s">
        <v>743</v>
      </c>
      <c r="K192" t="str">
        <f>UPPER(List_of_Orders_PBI[[#This Row],[CustomerName]])</f>
        <v>AVISH</v>
      </c>
      <c r="L192" t="s">
        <v>566</v>
      </c>
      <c r="M192" t="s">
        <v>567</v>
      </c>
      <c r="N192" t="str">
        <f>TEXT(List_of_Orders_PBI[[#This Row],[Order Date]],"DD-MMM-YYYY")</f>
        <v>24-Sep-2018</v>
      </c>
      <c r="O192" t="str">
        <f>_xlfn.CONCAT(List_of_Orders_PBI[[#This Row],[City]] &amp;" - "&amp; List_of_Orders_PBI[[#This Row],[State]])</f>
        <v xml:space="preserve">Thiruvananthapuram - Kerala </v>
      </c>
    </row>
    <row r="193" spans="1:15" x14ac:dyDescent="0.3">
      <c r="A193" t="s">
        <v>217</v>
      </c>
      <c r="B193">
        <v>74</v>
      </c>
      <c r="C193">
        <v>-25</v>
      </c>
      <c r="D193">
        <v>3</v>
      </c>
      <c r="E193" t="s">
        <v>9</v>
      </c>
      <c r="F193" t="s">
        <v>10</v>
      </c>
      <c r="G193">
        <f>Order_Details_PBI[[#This Row],[Profit]]/Order_Details_PBI[[#This Row],[Amount]]</f>
        <v>-0.33783783783783783</v>
      </c>
      <c r="H193" t="str">
        <f>IF(Order_Details_PBI[[#This Row],[Profit Margine]]&lt;0," Loss",IF(Order_Details_PBI[[#This Row],[Profit Margine]]=0," Break-Even","Profit"))</f>
        <v xml:space="preserve"> Loss</v>
      </c>
      <c r="I193" s="2">
        <v>43367</v>
      </c>
      <c r="J193" t="s">
        <v>739</v>
      </c>
      <c r="K193" t="str">
        <f>UPPER(List_of_Orders_PBI[[#This Row],[CustomerName]])</f>
        <v>ABHISHEK</v>
      </c>
      <c r="L193" t="s">
        <v>539</v>
      </c>
      <c r="M193" t="s">
        <v>595</v>
      </c>
      <c r="N193" t="str">
        <f>TEXT(List_of_Orders_PBI[[#This Row],[Order Date]],"DD-MMM-YYYY")</f>
        <v>24-Sep-2018</v>
      </c>
      <c r="O193" t="str">
        <f>_xlfn.CONCAT(List_of_Orders_PBI[[#This Row],[City]] &amp;" - "&amp; List_of_Orders_PBI[[#This Row],[State]])</f>
        <v>Mumbai - Maharashtra</v>
      </c>
    </row>
    <row r="194" spans="1:15" x14ac:dyDescent="0.3">
      <c r="A194" t="s">
        <v>218</v>
      </c>
      <c r="B194">
        <v>40</v>
      </c>
      <c r="C194">
        <v>-33</v>
      </c>
      <c r="D194">
        <v>5</v>
      </c>
      <c r="E194" t="s">
        <v>9</v>
      </c>
      <c r="F194" t="s">
        <v>11</v>
      </c>
      <c r="G194">
        <f>Order_Details_PBI[[#This Row],[Profit]]/Order_Details_PBI[[#This Row],[Amount]]</f>
        <v>-0.82499999999999996</v>
      </c>
      <c r="H194" t="str">
        <f>IF(Order_Details_PBI[[#This Row],[Profit Margine]]&lt;0," Loss",IF(Order_Details_PBI[[#This Row],[Profit Margine]]=0," Break-Even","Profit"))</f>
        <v xml:space="preserve"> Loss</v>
      </c>
      <c r="I194" s="2">
        <v>43367</v>
      </c>
      <c r="J194" t="s">
        <v>744</v>
      </c>
      <c r="K194" t="str">
        <f>UPPER(List_of_Orders_PBI[[#This Row],[CustomerName]])</f>
        <v>SIDDHARTH</v>
      </c>
      <c r="L194" t="s">
        <v>542</v>
      </c>
      <c r="M194" t="s">
        <v>597</v>
      </c>
      <c r="N194" t="str">
        <f>TEXT(List_of_Orders_PBI[[#This Row],[Order Date]],"DD-MMM-YYYY")</f>
        <v>24-Sep-2018</v>
      </c>
      <c r="O194" t="str">
        <f>_xlfn.CONCAT(List_of_Orders_PBI[[#This Row],[City]] &amp;" - "&amp; List_of_Orders_PBI[[#This Row],[State]])</f>
        <v>Indore - Madhya Pradesh</v>
      </c>
    </row>
    <row r="195" spans="1:15" x14ac:dyDescent="0.3">
      <c r="A195" t="s">
        <v>219</v>
      </c>
      <c r="B195">
        <v>176</v>
      </c>
      <c r="C195">
        <v>37</v>
      </c>
      <c r="D195">
        <v>6</v>
      </c>
      <c r="E195" t="s">
        <v>12</v>
      </c>
      <c r="F195" t="s">
        <v>33</v>
      </c>
      <c r="G195">
        <f>Order_Details_PBI[[#This Row],[Profit]]/Order_Details_PBI[[#This Row],[Amount]]</f>
        <v>0.21022727272727273</v>
      </c>
      <c r="H195" t="str">
        <f>IF(Order_Details_PBI[[#This Row],[Profit Margine]]&lt;0," Loss",IF(Order_Details_PBI[[#This Row],[Profit Margine]]=0," Break-Even","Profit"))</f>
        <v>Profit</v>
      </c>
      <c r="I195" s="2">
        <v>43367</v>
      </c>
      <c r="J195" t="s">
        <v>618</v>
      </c>
      <c r="K195" t="str">
        <f>UPPER(List_of_Orders_PBI[[#This Row],[CustomerName]])</f>
        <v>ADITYA</v>
      </c>
      <c r="L195" t="s">
        <v>574</v>
      </c>
      <c r="M195" t="s">
        <v>575</v>
      </c>
      <c r="N195" t="str">
        <f>TEXT(List_of_Orders_PBI[[#This Row],[Order Date]],"DD-MMM-YYYY")</f>
        <v>24-Sep-2018</v>
      </c>
      <c r="O195" t="str">
        <f>_xlfn.CONCAT(List_of_Orders_PBI[[#This Row],[City]] &amp;" - "&amp; List_of_Orders_PBI[[#This Row],[State]])</f>
        <v>Simla - Himachal Pradesh</v>
      </c>
    </row>
    <row r="196" spans="1:15" x14ac:dyDescent="0.3">
      <c r="A196" t="s">
        <v>220</v>
      </c>
      <c r="B196">
        <v>276</v>
      </c>
      <c r="C196">
        <v>-21</v>
      </c>
      <c r="D196">
        <v>2</v>
      </c>
      <c r="E196" t="s">
        <v>12</v>
      </c>
      <c r="F196" t="s">
        <v>15</v>
      </c>
      <c r="G196">
        <f>Order_Details_PBI[[#This Row],[Profit]]/Order_Details_PBI[[#This Row],[Amount]]</f>
        <v>-7.6086956521739135E-2</v>
      </c>
      <c r="H196" t="str">
        <f>IF(Order_Details_PBI[[#This Row],[Profit Margine]]&lt;0," Loss",IF(Order_Details_PBI[[#This Row],[Profit Margine]]=0," Break-Even","Profit"))</f>
        <v xml:space="preserve"> Loss</v>
      </c>
      <c r="I196" s="2">
        <v>43367</v>
      </c>
      <c r="J196" t="s">
        <v>745</v>
      </c>
      <c r="K196" t="str">
        <f>UPPER(List_of_Orders_PBI[[#This Row],[CustomerName]])</f>
        <v>SUKANT</v>
      </c>
      <c r="L196" t="s">
        <v>577</v>
      </c>
      <c r="M196" t="s">
        <v>578</v>
      </c>
      <c r="N196" t="str">
        <f>TEXT(List_of_Orders_PBI[[#This Row],[Order Date]],"DD-MMM-YYYY")</f>
        <v>24-Sep-2018</v>
      </c>
      <c r="O196" t="str">
        <f>_xlfn.CONCAT(List_of_Orders_PBI[[#This Row],[City]] &amp;" - "&amp; List_of_Orders_PBI[[#This Row],[State]])</f>
        <v>Gangtok - Sikkim</v>
      </c>
    </row>
    <row r="197" spans="1:15" x14ac:dyDescent="0.3">
      <c r="A197" t="s">
        <v>221</v>
      </c>
      <c r="B197">
        <v>37</v>
      </c>
      <c r="C197">
        <v>-6</v>
      </c>
      <c r="D197">
        <v>1</v>
      </c>
      <c r="E197" t="s">
        <v>9</v>
      </c>
      <c r="F197" t="s">
        <v>16</v>
      </c>
      <c r="G197">
        <f>Order_Details_PBI[[#This Row],[Profit]]/Order_Details_PBI[[#This Row],[Amount]]</f>
        <v>-0.16216216216216217</v>
      </c>
      <c r="H197" t="str">
        <f>IF(Order_Details_PBI[[#This Row],[Profit Margine]]&lt;0," Loss",IF(Order_Details_PBI[[#This Row],[Profit Margine]]=0," Break-Even","Profit"))</f>
        <v xml:space="preserve"> Loss</v>
      </c>
      <c r="I197" s="2">
        <v>43367</v>
      </c>
      <c r="J197" t="s">
        <v>746</v>
      </c>
      <c r="K197" t="str">
        <f>UPPER(List_of_Orders_PBI[[#This Row],[CustomerName]])</f>
        <v>SUKRITH</v>
      </c>
      <c r="L197" t="s">
        <v>539</v>
      </c>
      <c r="M197" t="s">
        <v>595</v>
      </c>
      <c r="N197" t="str">
        <f>TEXT(List_of_Orders_PBI[[#This Row],[Order Date]],"DD-MMM-YYYY")</f>
        <v>24-Sep-2018</v>
      </c>
      <c r="O197" t="str">
        <f>_xlfn.CONCAT(List_of_Orders_PBI[[#This Row],[City]] &amp;" - "&amp; List_of_Orders_PBI[[#This Row],[State]])</f>
        <v>Mumbai - Maharashtra</v>
      </c>
    </row>
    <row r="198" spans="1:15" x14ac:dyDescent="0.3">
      <c r="A198" t="s">
        <v>222</v>
      </c>
      <c r="B198">
        <v>976</v>
      </c>
      <c r="C198">
        <v>293</v>
      </c>
      <c r="D198">
        <v>4</v>
      </c>
      <c r="E198" t="s">
        <v>12</v>
      </c>
      <c r="F198" t="s">
        <v>33</v>
      </c>
      <c r="G198">
        <f>Order_Details_PBI[[#This Row],[Profit]]/Order_Details_PBI[[#This Row],[Amount]]</f>
        <v>0.30020491803278687</v>
      </c>
      <c r="H198" t="str">
        <f>IF(Order_Details_PBI[[#This Row],[Profit Margine]]&lt;0," Loss",IF(Order_Details_PBI[[#This Row],[Profit Margine]]=0," Break-Even","Profit"))</f>
        <v>Profit</v>
      </c>
      <c r="I198" s="2">
        <v>43373</v>
      </c>
      <c r="J198" t="s">
        <v>747</v>
      </c>
      <c r="K198" t="str">
        <f>UPPER(List_of_Orders_PBI[[#This Row],[CustomerName]])</f>
        <v>SAUPTIK</v>
      </c>
      <c r="L198" t="s">
        <v>542</v>
      </c>
      <c r="M198" t="s">
        <v>597</v>
      </c>
      <c r="N198" t="str">
        <f>TEXT(List_of_Orders_PBI[[#This Row],[Order Date]],"DD-MMM-YYYY")</f>
        <v>30-Sep-2018</v>
      </c>
      <c r="O198" t="str">
        <f>_xlfn.CONCAT(List_of_Orders_PBI[[#This Row],[City]] &amp;" - "&amp; List_of_Orders_PBI[[#This Row],[State]])</f>
        <v>Indore - Madhya Pradesh</v>
      </c>
    </row>
    <row r="199" spans="1:15" x14ac:dyDescent="0.3">
      <c r="A199" t="s">
        <v>223</v>
      </c>
      <c r="B199">
        <v>379</v>
      </c>
      <c r="C199">
        <v>63</v>
      </c>
      <c r="D199">
        <v>2</v>
      </c>
      <c r="E199" t="s">
        <v>9</v>
      </c>
      <c r="F199" t="s">
        <v>16</v>
      </c>
      <c r="G199">
        <f>Order_Details_PBI[[#This Row],[Profit]]/Order_Details_PBI[[#This Row],[Amount]]</f>
        <v>0.16622691292875991</v>
      </c>
      <c r="H199" t="str">
        <f>IF(Order_Details_PBI[[#This Row],[Profit Margine]]&lt;0," Loss",IF(Order_Details_PBI[[#This Row],[Profit Margine]]=0," Break-Even","Profit"))</f>
        <v>Profit</v>
      </c>
      <c r="I199" s="2">
        <v>43374</v>
      </c>
      <c r="J199" t="s">
        <v>748</v>
      </c>
      <c r="K199" t="str">
        <f>UPPER(List_of_Orders_PBI[[#This Row],[CustomerName]])</f>
        <v>SHISHU</v>
      </c>
      <c r="L199" t="s">
        <v>585</v>
      </c>
      <c r="M199" t="s">
        <v>586</v>
      </c>
      <c r="N199" t="str">
        <f>TEXT(List_of_Orders_PBI[[#This Row],[Order Date]],"DD-MMM-YYYY")</f>
        <v>01-Oct-2018</v>
      </c>
      <c r="O199" t="str">
        <f>_xlfn.CONCAT(List_of_Orders_PBI[[#This Row],[City]] &amp;" - "&amp; List_of_Orders_PBI[[#This Row],[State]])</f>
        <v>Hyderabad - Andhra Pradesh</v>
      </c>
    </row>
    <row r="200" spans="1:15" x14ac:dyDescent="0.3">
      <c r="A200" t="s">
        <v>224</v>
      </c>
      <c r="B200">
        <v>205</v>
      </c>
      <c r="C200">
        <v>-119</v>
      </c>
      <c r="D200">
        <v>3</v>
      </c>
      <c r="E200" t="s">
        <v>9</v>
      </c>
      <c r="F200" t="s">
        <v>16</v>
      </c>
      <c r="G200">
        <f>Order_Details_PBI[[#This Row],[Profit]]/Order_Details_PBI[[#This Row],[Amount]]</f>
        <v>-0.58048780487804874</v>
      </c>
      <c r="H200" t="str">
        <f>IF(Order_Details_PBI[[#This Row],[Profit Margine]]&lt;0," Loss",IF(Order_Details_PBI[[#This Row],[Profit Margine]]=0," Break-Even","Profit"))</f>
        <v xml:space="preserve"> Loss</v>
      </c>
      <c r="I200" s="2">
        <v>43374</v>
      </c>
      <c r="J200" t="s">
        <v>749</v>
      </c>
      <c r="K200" t="str">
        <f>UPPER(List_of_Orders_PBI[[#This Row],[CustomerName]])</f>
        <v>DIVYANSH</v>
      </c>
      <c r="L200" t="s">
        <v>536</v>
      </c>
      <c r="M200" t="s">
        <v>537</v>
      </c>
      <c r="N200" t="str">
        <f>TEXT(List_of_Orders_PBI[[#This Row],[Order Date]],"DD-MMM-YYYY")</f>
        <v>01-Oct-2018</v>
      </c>
      <c r="O200" t="str">
        <f>_xlfn.CONCAT(List_of_Orders_PBI[[#This Row],[City]] &amp;" - "&amp; List_of_Orders_PBI[[#This Row],[State]])</f>
        <v>Ahmedabad - Gujarat</v>
      </c>
    </row>
    <row r="201" spans="1:15" x14ac:dyDescent="0.3">
      <c r="A201" t="s">
        <v>225</v>
      </c>
      <c r="B201">
        <v>122</v>
      </c>
      <c r="C201">
        <v>-66</v>
      </c>
      <c r="D201">
        <v>9</v>
      </c>
      <c r="E201" t="s">
        <v>12</v>
      </c>
      <c r="F201" t="s">
        <v>33</v>
      </c>
      <c r="G201">
        <f>Order_Details_PBI[[#This Row],[Profit]]/Order_Details_PBI[[#This Row],[Amount]]</f>
        <v>-0.54098360655737709</v>
      </c>
      <c r="H201" t="str">
        <f>IF(Order_Details_PBI[[#This Row],[Profit Margine]]&lt;0," Loss",IF(Order_Details_PBI[[#This Row],[Profit Margine]]=0," Break-Even","Profit"))</f>
        <v xml:space="preserve"> Loss</v>
      </c>
      <c r="I201" s="2">
        <v>43374</v>
      </c>
      <c r="J201" t="s">
        <v>750</v>
      </c>
      <c r="K201" t="str">
        <f>UPPER(List_of_Orders_PBI[[#This Row],[CustomerName]])</f>
        <v>ISHIT</v>
      </c>
      <c r="L201" t="s">
        <v>539</v>
      </c>
      <c r="M201" t="s">
        <v>540</v>
      </c>
      <c r="N201" t="str">
        <f>TEXT(List_of_Orders_PBI[[#This Row],[Order Date]],"DD-MMM-YYYY")</f>
        <v>01-Oct-2018</v>
      </c>
      <c r="O201" t="str">
        <f>_xlfn.CONCAT(List_of_Orders_PBI[[#This Row],[City]] &amp;" - "&amp; List_of_Orders_PBI[[#This Row],[State]])</f>
        <v>Pune - Maharashtra</v>
      </c>
    </row>
    <row r="202" spans="1:15" x14ac:dyDescent="0.3">
      <c r="A202" t="s">
        <v>226</v>
      </c>
      <c r="B202">
        <v>64</v>
      </c>
      <c r="C202">
        <v>6</v>
      </c>
      <c r="D202">
        <v>4</v>
      </c>
      <c r="E202" t="s">
        <v>9</v>
      </c>
      <c r="F202" t="s">
        <v>16</v>
      </c>
      <c r="G202">
        <f>Order_Details_PBI[[#This Row],[Profit]]/Order_Details_PBI[[#This Row],[Amount]]</f>
        <v>9.375E-2</v>
      </c>
      <c r="H202" t="str">
        <f>IF(Order_Details_PBI[[#This Row],[Profit Margine]]&lt;0," Loss",IF(Order_Details_PBI[[#This Row],[Profit Margine]]=0," Break-Even","Profit"))</f>
        <v>Profit</v>
      </c>
      <c r="I202" s="2">
        <v>43374</v>
      </c>
      <c r="J202" t="s">
        <v>751</v>
      </c>
      <c r="K202" t="str">
        <f>UPPER(List_of_Orders_PBI[[#This Row],[CustomerName]])</f>
        <v>ARYAN</v>
      </c>
      <c r="L202" t="s">
        <v>542</v>
      </c>
      <c r="M202" t="s">
        <v>543</v>
      </c>
      <c r="N202" t="str">
        <f>TEXT(List_of_Orders_PBI[[#This Row],[Order Date]],"DD-MMM-YYYY")</f>
        <v>01-Oct-2018</v>
      </c>
      <c r="O202" t="str">
        <f>_xlfn.CONCAT(List_of_Orders_PBI[[#This Row],[City]] &amp;" - "&amp; List_of_Orders_PBI[[#This Row],[State]])</f>
        <v>Bhopal - Madhya Pradesh</v>
      </c>
    </row>
    <row r="203" spans="1:15" x14ac:dyDescent="0.3">
      <c r="A203" t="s">
        <v>227</v>
      </c>
      <c r="B203">
        <v>27</v>
      </c>
      <c r="C203">
        <v>-7</v>
      </c>
      <c r="D203">
        <v>5</v>
      </c>
      <c r="E203" t="s">
        <v>9</v>
      </c>
      <c r="F203" t="s">
        <v>16</v>
      </c>
      <c r="G203">
        <f>Order_Details_PBI[[#This Row],[Profit]]/Order_Details_PBI[[#This Row],[Amount]]</f>
        <v>-0.25925925925925924</v>
      </c>
      <c r="H203" t="str">
        <f>IF(Order_Details_PBI[[#This Row],[Profit Margine]]&lt;0," Loss",IF(Order_Details_PBI[[#This Row],[Profit Margine]]=0," Break-Even","Profit"))</f>
        <v xml:space="preserve"> Loss</v>
      </c>
      <c r="I203" s="2">
        <v>43378</v>
      </c>
      <c r="J203" t="s">
        <v>752</v>
      </c>
      <c r="K203" t="str">
        <f>UPPER(List_of_Orders_PBI[[#This Row],[CustomerName]])</f>
        <v>YASH</v>
      </c>
      <c r="L203" t="s">
        <v>539</v>
      </c>
      <c r="M203" t="s">
        <v>595</v>
      </c>
      <c r="N203" t="str">
        <f>TEXT(List_of_Orders_PBI[[#This Row],[Order Date]],"DD-MMM-YYYY")</f>
        <v>05-Oct-2018</v>
      </c>
      <c r="O203" t="str">
        <f>_xlfn.CONCAT(List_of_Orders_PBI[[#This Row],[City]] &amp;" - "&amp; List_of_Orders_PBI[[#This Row],[State]])</f>
        <v>Mumbai - Maharashtra</v>
      </c>
    </row>
    <row r="204" spans="1:15" x14ac:dyDescent="0.3">
      <c r="A204" t="s">
        <v>228</v>
      </c>
      <c r="B204">
        <v>106</v>
      </c>
      <c r="C204">
        <v>12</v>
      </c>
      <c r="D204">
        <v>3</v>
      </c>
      <c r="E204" t="s">
        <v>9</v>
      </c>
      <c r="F204" t="s">
        <v>18</v>
      </c>
      <c r="G204">
        <f>Order_Details_PBI[[#This Row],[Profit]]/Order_Details_PBI[[#This Row],[Amount]]</f>
        <v>0.11320754716981132</v>
      </c>
      <c r="H204" t="str">
        <f>IF(Order_Details_PBI[[#This Row],[Profit Margine]]&lt;0," Loss",IF(Order_Details_PBI[[#This Row],[Profit Margine]]=0," Break-Even","Profit"))</f>
        <v>Profit</v>
      </c>
      <c r="I204" s="2">
        <v>43378</v>
      </c>
      <c r="J204" t="s">
        <v>753</v>
      </c>
      <c r="K204" t="str">
        <f>UPPER(List_of_Orders_PBI[[#This Row],[CustomerName]])</f>
        <v>SHIVANSHU</v>
      </c>
      <c r="L204" t="s">
        <v>542</v>
      </c>
      <c r="M204" t="s">
        <v>597</v>
      </c>
      <c r="N204" t="str">
        <f>TEXT(List_of_Orders_PBI[[#This Row],[Order Date]],"DD-MMM-YYYY")</f>
        <v>05-Oct-2018</v>
      </c>
      <c r="O204" t="str">
        <f>_xlfn.CONCAT(List_of_Orders_PBI[[#This Row],[City]] &amp;" - "&amp; List_of_Orders_PBI[[#This Row],[State]])</f>
        <v>Indore - Madhya Pradesh</v>
      </c>
    </row>
    <row r="205" spans="1:15" x14ac:dyDescent="0.3">
      <c r="A205" t="s">
        <v>229</v>
      </c>
      <c r="B205">
        <v>156</v>
      </c>
      <c r="C205">
        <v>36</v>
      </c>
      <c r="D205">
        <v>5</v>
      </c>
      <c r="E205" t="s">
        <v>9</v>
      </c>
      <c r="F205" t="s">
        <v>22</v>
      </c>
      <c r="G205">
        <f>Order_Details_PBI[[#This Row],[Profit]]/Order_Details_PBI[[#This Row],[Amount]]</f>
        <v>0.23076923076923078</v>
      </c>
      <c r="H205" t="str">
        <f>IF(Order_Details_PBI[[#This Row],[Profit Margine]]&lt;0," Loss",IF(Order_Details_PBI[[#This Row],[Profit Margine]]=0," Break-Even","Profit"))</f>
        <v>Profit</v>
      </c>
      <c r="I205" s="2">
        <v>43378</v>
      </c>
      <c r="J205" t="s">
        <v>754</v>
      </c>
      <c r="K205" t="str">
        <f>UPPER(List_of_Orders_PBI[[#This Row],[CustomerName]])</f>
        <v>SUDHEER</v>
      </c>
      <c r="L205" t="s">
        <v>551</v>
      </c>
      <c r="M205" t="s">
        <v>552</v>
      </c>
      <c r="N205" t="str">
        <f>TEXT(List_of_Orders_PBI[[#This Row],[Order Date]],"DD-MMM-YYYY")</f>
        <v>05-Oct-2018</v>
      </c>
      <c r="O205" t="str">
        <f>_xlfn.CONCAT(List_of_Orders_PBI[[#This Row],[City]] &amp;" - "&amp; List_of_Orders_PBI[[#This Row],[State]])</f>
        <v>Bangalore - Karnataka</v>
      </c>
    </row>
    <row r="206" spans="1:15" x14ac:dyDescent="0.3">
      <c r="A206" t="s">
        <v>230</v>
      </c>
      <c r="B206">
        <v>112</v>
      </c>
      <c r="C206">
        <v>15</v>
      </c>
      <c r="D206">
        <v>2</v>
      </c>
      <c r="E206" t="s">
        <v>7</v>
      </c>
      <c r="F206" t="s">
        <v>19</v>
      </c>
      <c r="G206">
        <f>Order_Details_PBI[[#This Row],[Profit]]/Order_Details_PBI[[#This Row],[Amount]]</f>
        <v>0.13392857142857142</v>
      </c>
      <c r="H206" t="str">
        <f>IF(Order_Details_PBI[[#This Row],[Profit Margine]]&lt;0," Loss",IF(Order_Details_PBI[[#This Row],[Profit Margine]]=0," Break-Even","Profit"))</f>
        <v>Profit</v>
      </c>
      <c r="I206" s="2">
        <v>43378</v>
      </c>
      <c r="J206" t="s">
        <v>755</v>
      </c>
      <c r="K206" t="str">
        <f>UPPER(List_of_Orders_PBI[[#This Row],[CustomerName]])</f>
        <v>ANKIT</v>
      </c>
      <c r="L206" t="s">
        <v>539</v>
      </c>
      <c r="M206" t="s">
        <v>595</v>
      </c>
      <c r="N206" t="str">
        <f>TEXT(List_of_Orders_PBI[[#This Row],[Order Date]],"DD-MMM-YYYY")</f>
        <v>05-Oct-2018</v>
      </c>
      <c r="O206" t="str">
        <f>_xlfn.CONCAT(List_of_Orders_PBI[[#This Row],[City]] &amp;" - "&amp; List_of_Orders_PBI[[#This Row],[State]])</f>
        <v>Mumbai - Maharashtra</v>
      </c>
    </row>
    <row r="207" spans="1:15" x14ac:dyDescent="0.3">
      <c r="A207" t="s">
        <v>231</v>
      </c>
      <c r="B207">
        <v>632</v>
      </c>
      <c r="C207">
        <v>-114</v>
      </c>
      <c r="D207">
        <v>4</v>
      </c>
      <c r="E207" t="s">
        <v>7</v>
      </c>
      <c r="F207" t="s">
        <v>29</v>
      </c>
      <c r="G207">
        <f>Order_Details_PBI[[#This Row],[Profit]]/Order_Details_PBI[[#This Row],[Amount]]</f>
        <v>-0.18037974683544303</v>
      </c>
      <c r="H207" t="str">
        <f>IF(Order_Details_PBI[[#This Row],[Profit Margine]]&lt;0," Loss",IF(Order_Details_PBI[[#This Row],[Profit Margine]]=0," Break-Even","Profit"))</f>
        <v xml:space="preserve"> Loss</v>
      </c>
      <c r="I207" s="2">
        <v>43379</v>
      </c>
      <c r="J207" t="s">
        <v>756</v>
      </c>
      <c r="K207" t="str">
        <f>UPPER(List_of_Orders_PBI[[#This Row],[CustomerName]])</f>
        <v>DHANRAJ</v>
      </c>
      <c r="L207" t="s">
        <v>542</v>
      </c>
      <c r="M207" t="s">
        <v>597</v>
      </c>
      <c r="N207" t="str">
        <f>TEXT(List_of_Orders_PBI[[#This Row],[Order Date]],"DD-MMM-YYYY")</f>
        <v>06-Oct-2018</v>
      </c>
      <c r="O207" t="str">
        <f>_xlfn.CONCAT(List_of_Orders_PBI[[#This Row],[City]] &amp;" - "&amp; List_of_Orders_PBI[[#This Row],[State]])</f>
        <v>Indore - Madhya Pradesh</v>
      </c>
    </row>
    <row r="208" spans="1:15" x14ac:dyDescent="0.3">
      <c r="A208" t="s">
        <v>232</v>
      </c>
      <c r="B208">
        <v>16</v>
      </c>
      <c r="C208">
        <v>6</v>
      </c>
      <c r="D208">
        <v>1</v>
      </c>
      <c r="E208" t="s">
        <v>9</v>
      </c>
      <c r="F208" t="s">
        <v>10</v>
      </c>
      <c r="G208">
        <f>Order_Details_PBI[[#This Row],[Profit]]/Order_Details_PBI[[#This Row],[Amount]]</f>
        <v>0.375</v>
      </c>
      <c r="H208" t="str">
        <f>IF(Order_Details_PBI[[#This Row],[Profit Margine]]&lt;0," Loss",IF(Order_Details_PBI[[#This Row],[Profit Margine]]=0," Break-Even","Profit"))</f>
        <v>Profit</v>
      </c>
      <c r="I208" s="2">
        <v>43380</v>
      </c>
      <c r="J208" t="s">
        <v>757</v>
      </c>
      <c r="K208" t="str">
        <f>UPPER(List_of_Orders_PBI[[#This Row],[CustomerName]])</f>
        <v>VIPUL</v>
      </c>
      <c r="L208" t="s">
        <v>560</v>
      </c>
      <c r="M208" t="s">
        <v>561</v>
      </c>
      <c r="N208" t="str">
        <f>TEXT(List_of_Orders_PBI[[#This Row],[Order Date]],"DD-MMM-YYYY")</f>
        <v>07-Oct-2018</v>
      </c>
      <c r="O208" t="str">
        <f>_xlfn.CONCAT(List_of_Orders_PBI[[#This Row],[City]] &amp;" - "&amp; List_of_Orders_PBI[[#This Row],[State]])</f>
        <v>Lucknow - Uttar Pradesh</v>
      </c>
    </row>
    <row r="209" spans="1:15" x14ac:dyDescent="0.3">
      <c r="A209" t="s">
        <v>233</v>
      </c>
      <c r="B209">
        <v>63</v>
      </c>
      <c r="C209">
        <v>17</v>
      </c>
      <c r="D209">
        <v>6</v>
      </c>
      <c r="E209" t="s">
        <v>9</v>
      </c>
      <c r="F209" t="s">
        <v>27</v>
      </c>
      <c r="G209">
        <f>Order_Details_PBI[[#This Row],[Profit]]/Order_Details_PBI[[#This Row],[Amount]]</f>
        <v>0.26984126984126983</v>
      </c>
      <c r="H209" t="str">
        <f>IF(Order_Details_PBI[[#This Row],[Profit Margine]]&lt;0," Loss",IF(Order_Details_PBI[[#This Row],[Profit Margine]]=0," Break-Even","Profit"))</f>
        <v>Profit</v>
      </c>
      <c r="I209" s="2">
        <v>43381</v>
      </c>
      <c r="J209" t="s">
        <v>758</v>
      </c>
      <c r="K209" t="str">
        <f>UPPER(List_of_Orders_PBI[[#This Row],[CustomerName]])</f>
        <v>APSINGEKAR</v>
      </c>
      <c r="L209" t="s">
        <v>563</v>
      </c>
      <c r="M209" t="s">
        <v>564</v>
      </c>
      <c r="N209" t="str">
        <f>TEXT(List_of_Orders_PBI[[#This Row],[Order Date]],"DD-MMM-YYYY")</f>
        <v>08-Oct-2018</v>
      </c>
      <c r="O209" t="str">
        <f>_xlfn.CONCAT(List_of_Orders_PBI[[#This Row],[City]] &amp;" - "&amp; List_of_Orders_PBI[[#This Row],[State]])</f>
        <v>Patna - Bihar</v>
      </c>
    </row>
    <row r="210" spans="1:15" x14ac:dyDescent="0.3">
      <c r="A210" t="s">
        <v>234</v>
      </c>
      <c r="B210">
        <v>154</v>
      </c>
      <c r="C210">
        <v>54</v>
      </c>
      <c r="D210">
        <v>3</v>
      </c>
      <c r="E210" t="s">
        <v>9</v>
      </c>
      <c r="F210" t="s">
        <v>11</v>
      </c>
      <c r="G210">
        <f>Order_Details_PBI[[#This Row],[Profit]]/Order_Details_PBI[[#This Row],[Amount]]</f>
        <v>0.35064935064935066</v>
      </c>
      <c r="H210" t="str">
        <f>IF(Order_Details_PBI[[#This Row],[Profit Margine]]&lt;0," Loss",IF(Order_Details_PBI[[#This Row],[Profit Margine]]=0," Break-Even","Profit"))</f>
        <v>Profit</v>
      </c>
      <c r="I210" s="2">
        <v>43382</v>
      </c>
      <c r="J210" t="s">
        <v>759</v>
      </c>
      <c r="K210" t="str">
        <f>UPPER(List_of_Orders_PBI[[#This Row],[CustomerName]])</f>
        <v>SUMAN</v>
      </c>
      <c r="L210" t="s">
        <v>566</v>
      </c>
      <c r="M210" t="s">
        <v>567</v>
      </c>
      <c r="N210" t="str">
        <f>TEXT(List_of_Orders_PBI[[#This Row],[Order Date]],"DD-MMM-YYYY")</f>
        <v>09-Oct-2018</v>
      </c>
      <c r="O210" t="str">
        <f>_xlfn.CONCAT(List_of_Orders_PBI[[#This Row],[City]] &amp;" - "&amp; List_of_Orders_PBI[[#This Row],[State]])</f>
        <v xml:space="preserve">Thiruvananthapuram - Kerala </v>
      </c>
    </row>
    <row r="211" spans="1:15" x14ac:dyDescent="0.3">
      <c r="A211" t="s">
        <v>235</v>
      </c>
      <c r="B211">
        <v>26</v>
      </c>
      <c r="C211">
        <v>10</v>
      </c>
      <c r="D211">
        <v>4</v>
      </c>
      <c r="E211" t="s">
        <v>9</v>
      </c>
      <c r="F211" t="s">
        <v>11</v>
      </c>
      <c r="G211">
        <f>Order_Details_PBI[[#This Row],[Profit]]/Order_Details_PBI[[#This Row],[Amount]]</f>
        <v>0.38461538461538464</v>
      </c>
      <c r="H211" t="str">
        <f>IF(Order_Details_PBI[[#This Row],[Profit Margine]]&lt;0," Loss",IF(Order_Details_PBI[[#This Row],[Profit Margine]]=0," Break-Even","Profit"))</f>
        <v>Profit</v>
      </c>
      <c r="I211" s="2">
        <v>43383</v>
      </c>
      <c r="J211" t="s">
        <v>760</v>
      </c>
      <c r="K211" t="str">
        <f>UPPER(List_of_Orders_PBI[[#This Row],[CustomerName]])</f>
        <v>NRIPRAJ</v>
      </c>
      <c r="L211" t="s">
        <v>569</v>
      </c>
      <c r="M211" t="s">
        <v>570</v>
      </c>
      <c r="N211" t="str">
        <f>TEXT(List_of_Orders_PBI[[#This Row],[Order Date]],"DD-MMM-YYYY")</f>
        <v>10-Oct-2018</v>
      </c>
      <c r="O211" t="str">
        <f>_xlfn.CONCAT(List_of_Orders_PBI[[#This Row],[City]] &amp;" - "&amp; List_of_Orders_PBI[[#This Row],[State]])</f>
        <v>Chandigarh - Punjab</v>
      </c>
    </row>
    <row r="212" spans="1:15" x14ac:dyDescent="0.3">
      <c r="A212" t="s">
        <v>236</v>
      </c>
      <c r="B212">
        <v>126</v>
      </c>
      <c r="C212">
        <v>52</v>
      </c>
      <c r="D212">
        <v>4</v>
      </c>
      <c r="E212" t="s">
        <v>9</v>
      </c>
      <c r="F212" t="s">
        <v>11</v>
      </c>
      <c r="G212">
        <f>Order_Details_PBI[[#This Row],[Profit]]/Order_Details_PBI[[#This Row],[Amount]]</f>
        <v>0.41269841269841268</v>
      </c>
      <c r="H212" t="str">
        <f>IF(Order_Details_PBI[[#This Row],[Profit Margine]]&lt;0," Loss",IF(Order_Details_PBI[[#This Row],[Profit Margine]]=0," Break-Even","Profit"))</f>
        <v>Profit</v>
      </c>
      <c r="I212" s="2">
        <v>43383</v>
      </c>
      <c r="J212" t="s">
        <v>761</v>
      </c>
      <c r="K212" t="str">
        <f>UPPER(List_of_Orders_PBI[[#This Row],[CustomerName]])</f>
        <v>UTSAV</v>
      </c>
      <c r="L212" t="s">
        <v>539</v>
      </c>
      <c r="M212" t="s">
        <v>595</v>
      </c>
      <c r="N212" t="str">
        <f>TEXT(List_of_Orders_PBI[[#This Row],[Order Date]],"DD-MMM-YYYY")</f>
        <v>10-Oct-2018</v>
      </c>
      <c r="O212" t="str">
        <f>_xlfn.CONCAT(List_of_Orders_PBI[[#This Row],[City]] &amp;" - "&amp; List_of_Orders_PBI[[#This Row],[State]])</f>
        <v>Mumbai - Maharashtra</v>
      </c>
    </row>
    <row r="213" spans="1:15" x14ac:dyDescent="0.3">
      <c r="A213" t="s">
        <v>237</v>
      </c>
      <c r="B213">
        <v>259</v>
      </c>
      <c r="C213">
        <v>47</v>
      </c>
      <c r="D213">
        <v>5</v>
      </c>
      <c r="E213" t="s">
        <v>9</v>
      </c>
      <c r="F213" t="s">
        <v>11</v>
      </c>
      <c r="G213">
        <f>Order_Details_PBI[[#This Row],[Profit]]/Order_Details_PBI[[#This Row],[Amount]]</f>
        <v>0.18146718146718147</v>
      </c>
      <c r="H213" t="str">
        <f>IF(Order_Details_PBI[[#This Row],[Profit Margine]]&lt;0," Loss",IF(Order_Details_PBI[[#This Row],[Profit Margine]]=0," Break-Even","Profit"))</f>
        <v>Profit</v>
      </c>
      <c r="I213" s="2">
        <v>43383</v>
      </c>
      <c r="J213" t="s">
        <v>762</v>
      </c>
      <c r="K213" t="str">
        <f>UPPER(List_of_Orders_PBI[[#This Row],[CustomerName]])</f>
        <v>KSHITIJ</v>
      </c>
      <c r="L213" t="s">
        <v>542</v>
      </c>
      <c r="M213" t="s">
        <v>597</v>
      </c>
      <c r="N213" t="str">
        <f>TEXT(List_of_Orders_PBI[[#This Row],[Order Date]],"DD-MMM-YYYY")</f>
        <v>10-Oct-2018</v>
      </c>
      <c r="O213" t="str">
        <f>_xlfn.CONCAT(List_of_Orders_PBI[[#This Row],[City]] &amp;" - "&amp; List_of_Orders_PBI[[#This Row],[State]])</f>
        <v>Indore - Madhya Pradesh</v>
      </c>
    </row>
    <row r="214" spans="1:15" x14ac:dyDescent="0.3">
      <c r="A214" t="s">
        <v>238</v>
      </c>
      <c r="B214">
        <v>911</v>
      </c>
      <c r="C214">
        <v>202</v>
      </c>
      <c r="D214">
        <v>7</v>
      </c>
      <c r="E214" t="s">
        <v>7</v>
      </c>
      <c r="F214" t="s">
        <v>19</v>
      </c>
      <c r="G214">
        <f>Order_Details_PBI[[#This Row],[Profit]]/Order_Details_PBI[[#This Row],[Amount]]</f>
        <v>0.22173435784851811</v>
      </c>
      <c r="H214" t="str">
        <f>IF(Order_Details_PBI[[#This Row],[Profit Margine]]&lt;0," Loss",IF(Order_Details_PBI[[#This Row],[Profit Margine]]=0," Break-Even","Profit"))</f>
        <v>Profit</v>
      </c>
      <c r="I214" s="2">
        <v>43383</v>
      </c>
      <c r="J214" t="s">
        <v>763</v>
      </c>
      <c r="K214" t="str">
        <f>UPPER(List_of_Orders_PBI[[#This Row],[CustomerName]])</f>
        <v>HRISHEEKESH</v>
      </c>
      <c r="L214" t="s">
        <v>539</v>
      </c>
      <c r="M214" t="s">
        <v>595</v>
      </c>
      <c r="N214" t="str">
        <f>TEXT(List_of_Orders_PBI[[#This Row],[Order Date]],"DD-MMM-YYYY")</f>
        <v>10-Oct-2018</v>
      </c>
      <c r="O214" t="str">
        <f>_xlfn.CONCAT(List_of_Orders_PBI[[#This Row],[City]] &amp;" - "&amp; List_of_Orders_PBI[[#This Row],[State]])</f>
        <v>Mumbai - Maharashtra</v>
      </c>
    </row>
    <row r="215" spans="1:15" x14ac:dyDescent="0.3">
      <c r="A215" t="s">
        <v>239</v>
      </c>
      <c r="B215">
        <v>118</v>
      </c>
      <c r="C215">
        <v>35</v>
      </c>
      <c r="D215">
        <v>7</v>
      </c>
      <c r="E215" t="s">
        <v>9</v>
      </c>
      <c r="F215" t="s">
        <v>22</v>
      </c>
      <c r="G215">
        <f>Order_Details_PBI[[#This Row],[Profit]]/Order_Details_PBI[[#This Row],[Amount]]</f>
        <v>0.29661016949152541</v>
      </c>
      <c r="H215" t="str">
        <f>IF(Order_Details_PBI[[#This Row],[Profit Margine]]&lt;0," Loss",IF(Order_Details_PBI[[#This Row],[Profit Margine]]=0," Break-Even","Profit"))</f>
        <v>Profit</v>
      </c>
      <c r="I215" s="2">
        <v>43383</v>
      </c>
      <c r="J215" t="s">
        <v>764</v>
      </c>
      <c r="K215" t="str">
        <f>UPPER(List_of_Orders_PBI[[#This Row],[CustomerName]])</f>
        <v>SWAPNIL</v>
      </c>
      <c r="L215" t="s">
        <v>542</v>
      </c>
      <c r="M215" t="s">
        <v>597</v>
      </c>
      <c r="N215" t="str">
        <f>TEXT(List_of_Orders_PBI[[#This Row],[Order Date]],"DD-MMM-YYYY")</f>
        <v>10-Oct-2018</v>
      </c>
      <c r="O215" t="str">
        <f>_xlfn.CONCAT(List_of_Orders_PBI[[#This Row],[City]] &amp;" - "&amp; List_of_Orders_PBI[[#This Row],[State]])</f>
        <v>Indore - Madhya Pradesh</v>
      </c>
    </row>
    <row r="216" spans="1:15" x14ac:dyDescent="0.3">
      <c r="A216" t="s">
        <v>240</v>
      </c>
      <c r="B216">
        <v>35</v>
      </c>
      <c r="C216">
        <v>14</v>
      </c>
      <c r="D216">
        <v>2</v>
      </c>
      <c r="E216" t="s">
        <v>9</v>
      </c>
      <c r="F216" t="s">
        <v>10</v>
      </c>
      <c r="G216">
        <f>Order_Details_PBI[[#This Row],[Profit]]/Order_Details_PBI[[#This Row],[Amount]]</f>
        <v>0.4</v>
      </c>
      <c r="H216" t="str">
        <f>IF(Order_Details_PBI[[#This Row],[Profit Margine]]&lt;0," Loss",IF(Order_Details_PBI[[#This Row],[Profit Margine]]=0," Break-Even","Profit"))</f>
        <v>Profit</v>
      </c>
      <c r="I216" s="2">
        <v>43383</v>
      </c>
      <c r="J216" t="s">
        <v>711</v>
      </c>
      <c r="K216" t="str">
        <f>UPPER(List_of_Orders_PBI[[#This Row],[CustomerName]])</f>
        <v>HARSH</v>
      </c>
      <c r="L216" t="s">
        <v>582</v>
      </c>
      <c r="M216" t="s">
        <v>583</v>
      </c>
      <c r="N216" t="str">
        <f>TEXT(List_of_Orders_PBI[[#This Row],[Order Date]],"DD-MMM-YYYY")</f>
        <v>10-Oct-2018</v>
      </c>
      <c r="O216" t="str">
        <f>_xlfn.CONCAT(List_of_Orders_PBI[[#This Row],[City]] &amp;" - "&amp; List_of_Orders_PBI[[#This Row],[State]])</f>
        <v>Kohima - Nagaland</v>
      </c>
    </row>
    <row r="217" spans="1:15" x14ac:dyDescent="0.3">
      <c r="A217" t="s">
        <v>241</v>
      </c>
      <c r="B217">
        <v>391</v>
      </c>
      <c r="C217">
        <v>113</v>
      </c>
      <c r="D217">
        <v>8</v>
      </c>
      <c r="E217" t="s">
        <v>9</v>
      </c>
      <c r="F217" t="s">
        <v>10</v>
      </c>
      <c r="G217">
        <f>Order_Details_PBI[[#This Row],[Profit]]/Order_Details_PBI[[#This Row],[Amount]]</f>
        <v>0.28900255754475701</v>
      </c>
      <c r="H217" t="str">
        <f>IF(Order_Details_PBI[[#This Row],[Profit Margine]]&lt;0," Loss",IF(Order_Details_PBI[[#This Row],[Profit Margine]]=0," Break-Even","Profit"))</f>
        <v>Profit</v>
      </c>
      <c r="I217" s="2">
        <v>43385</v>
      </c>
      <c r="J217" t="s">
        <v>765</v>
      </c>
      <c r="K217" t="str">
        <f>UPPER(List_of_Orders_PBI[[#This Row],[CustomerName]])</f>
        <v>MANE</v>
      </c>
      <c r="L217" t="s">
        <v>585</v>
      </c>
      <c r="M217" t="s">
        <v>586</v>
      </c>
      <c r="N217" t="str">
        <f>TEXT(List_of_Orders_PBI[[#This Row],[Order Date]],"DD-MMM-YYYY")</f>
        <v>12-Oct-2018</v>
      </c>
      <c r="O217" t="str">
        <f>_xlfn.CONCAT(List_of_Orders_PBI[[#This Row],[City]] &amp;" - "&amp; List_of_Orders_PBI[[#This Row],[State]])</f>
        <v>Hyderabad - Andhra Pradesh</v>
      </c>
    </row>
    <row r="218" spans="1:15" x14ac:dyDescent="0.3">
      <c r="A218" t="s">
        <v>242</v>
      </c>
      <c r="B218">
        <v>743</v>
      </c>
      <c r="C218">
        <v>89</v>
      </c>
      <c r="D218">
        <v>5</v>
      </c>
      <c r="E218" t="s">
        <v>12</v>
      </c>
      <c r="F218" t="s">
        <v>30</v>
      </c>
      <c r="G218">
        <f>Order_Details_PBI[[#This Row],[Profit]]/Order_Details_PBI[[#This Row],[Amount]]</f>
        <v>0.11978465679676985</v>
      </c>
      <c r="H218" t="str">
        <f>IF(Order_Details_PBI[[#This Row],[Profit Margine]]&lt;0," Loss",IF(Order_Details_PBI[[#This Row],[Profit Margine]]=0," Break-Even","Profit"))</f>
        <v>Profit</v>
      </c>
      <c r="I218" s="2">
        <v>43386</v>
      </c>
      <c r="J218" t="s">
        <v>766</v>
      </c>
      <c r="K218" t="str">
        <f>UPPER(List_of_Orders_PBI[[#This Row],[CustomerName]])</f>
        <v>PRANEET</v>
      </c>
      <c r="L218" t="s">
        <v>539</v>
      </c>
      <c r="M218" t="s">
        <v>595</v>
      </c>
      <c r="N218" t="str">
        <f>TEXT(List_of_Orders_PBI[[#This Row],[Order Date]],"DD-MMM-YYYY")</f>
        <v>13-Oct-2018</v>
      </c>
      <c r="O218" t="str">
        <f>_xlfn.CONCAT(List_of_Orders_PBI[[#This Row],[City]] &amp;" - "&amp; List_of_Orders_PBI[[#This Row],[State]])</f>
        <v>Mumbai - Maharashtra</v>
      </c>
    </row>
    <row r="219" spans="1:15" x14ac:dyDescent="0.3">
      <c r="A219" t="s">
        <v>243</v>
      </c>
      <c r="B219">
        <v>75</v>
      </c>
      <c r="C219">
        <v>28</v>
      </c>
      <c r="D219">
        <v>9</v>
      </c>
      <c r="E219" t="s">
        <v>9</v>
      </c>
      <c r="F219" t="s">
        <v>11</v>
      </c>
      <c r="G219">
        <f>Order_Details_PBI[[#This Row],[Profit]]/Order_Details_PBI[[#This Row],[Amount]]</f>
        <v>0.37333333333333335</v>
      </c>
      <c r="H219" t="str">
        <f>IF(Order_Details_PBI[[#This Row],[Profit Margine]]&lt;0," Loss",IF(Order_Details_PBI[[#This Row],[Profit Margine]]=0," Break-Even","Profit"))</f>
        <v>Profit</v>
      </c>
      <c r="I219" s="2">
        <v>43387</v>
      </c>
      <c r="J219" t="s">
        <v>767</v>
      </c>
      <c r="K219" t="str">
        <f>UPPER(List_of_Orders_PBI[[#This Row],[CustomerName]])</f>
        <v>SANDEEP</v>
      </c>
      <c r="L219" t="s">
        <v>542</v>
      </c>
      <c r="M219" t="s">
        <v>597</v>
      </c>
      <c r="N219" t="str">
        <f>TEXT(List_of_Orders_PBI[[#This Row],[Order Date]],"DD-MMM-YYYY")</f>
        <v>14-Oct-2018</v>
      </c>
      <c r="O219" t="str">
        <f>_xlfn.CONCAT(List_of_Orders_PBI[[#This Row],[City]] &amp;" - "&amp; List_of_Orders_PBI[[#This Row],[State]])</f>
        <v>Indore - Madhya Pradesh</v>
      </c>
    </row>
    <row r="220" spans="1:15" x14ac:dyDescent="0.3">
      <c r="A220" t="s">
        <v>244</v>
      </c>
      <c r="B220">
        <v>417</v>
      </c>
      <c r="C220">
        <v>49</v>
      </c>
      <c r="D220">
        <v>3</v>
      </c>
      <c r="E220" t="s">
        <v>12</v>
      </c>
      <c r="F220" t="s">
        <v>13</v>
      </c>
      <c r="G220">
        <f>Order_Details_PBI[[#This Row],[Profit]]/Order_Details_PBI[[#This Row],[Amount]]</f>
        <v>0.11750599520383694</v>
      </c>
      <c r="H220" t="str">
        <f>IF(Order_Details_PBI[[#This Row],[Profit Margine]]&lt;0," Loss",IF(Order_Details_PBI[[#This Row],[Profit Margine]]=0," Break-Even","Profit"))</f>
        <v>Profit</v>
      </c>
      <c r="I220" s="2">
        <v>43388</v>
      </c>
      <c r="J220" t="s">
        <v>768</v>
      </c>
      <c r="K220" t="str">
        <f>UPPER(List_of_Orders_PBI[[#This Row],[CustomerName]])</f>
        <v>ANKUR</v>
      </c>
      <c r="L220" t="s">
        <v>542</v>
      </c>
      <c r="M220" t="s">
        <v>543</v>
      </c>
      <c r="N220" t="str">
        <f>TEXT(List_of_Orders_PBI[[#This Row],[Order Date]],"DD-MMM-YYYY")</f>
        <v>15-Oct-2018</v>
      </c>
      <c r="O220" t="str">
        <f>_xlfn.CONCAT(List_of_Orders_PBI[[#This Row],[City]] &amp;" - "&amp; List_of_Orders_PBI[[#This Row],[State]])</f>
        <v>Bhopal - Madhya Pradesh</v>
      </c>
    </row>
    <row r="221" spans="1:15" x14ac:dyDescent="0.3">
      <c r="A221" t="s">
        <v>245</v>
      </c>
      <c r="B221">
        <v>119</v>
      </c>
      <c r="C221">
        <v>1</v>
      </c>
      <c r="D221">
        <v>1</v>
      </c>
      <c r="E221" t="s">
        <v>7</v>
      </c>
      <c r="F221" t="s">
        <v>19</v>
      </c>
      <c r="G221">
        <f>Order_Details_PBI[[#This Row],[Profit]]/Order_Details_PBI[[#This Row],[Amount]]</f>
        <v>8.4033613445378148E-3</v>
      </c>
      <c r="H221" t="str">
        <f>IF(Order_Details_PBI[[#This Row],[Profit Margine]]&lt;0," Loss",IF(Order_Details_PBI[[#This Row],[Profit Margine]]=0," Break-Even","Profit"))</f>
        <v>Profit</v>
      </c>
      <c r="I221" s="2">
        <v>43389</v>
      </c>
      <c r="J221" t="s">
        <v>769</v>
      </c>
      <c r="K221" t="str">
        <f>UPPER(List_of_Orders_PBI[[#This Row],[CustomerName]])</f>
        <v>DHEERAJ</v>
      </c>
      <c r="L221" t="s">
        <v>545</v>
      </c>
      <c r="M221" t="s">
        <v>546</v>
      </c>
      <c r="N221" t="str">
        <f>TEXT(List_of_Orders_PBI[[#This Row],[Order Date]],"DD-MMM-YYYY")</f>
        <v>16-Oct-2018</v>
      </c>
      <c r="O221" t="str">
        <f>_xlfn.CONCAT(List_of_Orders_PBI[[#This Row],[City]] &amp;" - "&amp; List_of_Orders_PBI[[#This Row],[State]])</f>
        <v>Jaipur - Rajasthan</v>
      </c>
    </row>
    <row r="222" spans="1:15" x14ac:dyDescent="0.3">
      <c r="A222" t="s">
        <v>246</v>
      </c>
      <c r="B222">
        <v>60</v>
      </c>
      <c r="C222">
        <v>21</v>
      </c>
      <c r="D222">
        <v>4</v>
      </c>
      <c r="E222" t="s">
        <v>9</v>
      </c>
      <c r="F222" t="s">
        <v>10</v>
      </c>
      <c r="G222">
        <f>Order_Details_PBI[[#This Row],[Profit]]/Order_Details_PBI[[#This Row],[Amount]]</f>
        <v>0.35</v>
      </c>
      <c r="H222" t="str">
        <f>IF(Order_Details_PBI[[#This Row],[Profit Margine]]&lt;0," Loss",IF(Order_Details_PBI[[#This Row],[Profit Margine]]=0," Break-Even","Profit"))</f>
        <v>Profit</v>
      </c>
      <c r="I222" s="2">
        <v>43389</v>
      </c>
      <c r="J222" t="s">
        <v>612</v>
      </c>
      <c r="K222" t="str">
        <f>UPPER(List_of_Orders_PBI[[#This Row],[CustomerName]])</f>
        <v>AJAY</v>
      </c>
      <c r="L222" t="s">
        <v>548</v>
      </c>
      <c r="M222" t="s">
        <v>549</v>
      </c>
      <c r="N222" t="str">
        <f>TEXT(List_of_Orders_PBI[[#This Row],[Order Date]],"DD-MMM-YYYY")</f>
        <v>16-Oct-2018</v>
      </c>
      <c r="O222" t="str">
        <f>_xlfn.CONCAT(List_of_Orders_PBI[[#This Row],[City]] &amp;" - "&amp; List_of_Orders_PBI[[#This Row],[State]])</f>
        <v>Kolkata - West Bengal</v>
      </c>
    </row>
    <row r="223" spans="1:15" x14ac:dyDescent="0.3">
      <c r="A223" t="s">
        <v>247</v>
      </c>
      <c r="B223">
        <v>34</v>
      </c>
      <c r="C223">
        <v>13</v>
      </c>
      <c r="D223">
        <v>2</v>
      </c>
      <c r="E223" t="s">
        <v>9</v>
      </c>
      <c r="F223" t="s">
        <v>16</v>
      </c>
      <c r="G223">
        <f>Order_Details_PBI[[#This Row],[Profit]]/Order_Details_PBI[[#This Row],[Amount]]</f>
        <v>0.38235294117647056</v>
      </c>
      <c r="H223" t="str">
        <f>IF(Order_Details_PBI[[#This Row],[Profit Margine]]&lt;0," Loss",IF(Order_Details_PBI[[#This Row],[Profit Margine]]=0," Break-Even","Profit"))</f>
        <v>Profit</v>
      </c>
      <c r="I223" s="2">
        <v>43391</v>
      </c>
      <c r="J223" t="s">
        <v>770</v>
      </c>
      <c r="K223" t="str">
        <f>UPPER(List_of_Orders_PBI[[#This Row],[CustomerName]])</f>
        <v>TEJAS</v>
      </c>
      <c r="L223" t="s">
        <v>551</v>
      </c>
      <c r="M223" t="s">
        <v>552</v>
      </c>
      <c r="N223" t="str">
        <f>TEXT(List_of_Orders_PBI[[#This Row],[Order Date]],"DD-MMM-YYYY")</f>
        <v>18-Oct-2018</v>
      </c>
      <c r="O223" t="str">
        <f>_xlfn.CONCAT(List_of_Orders_PBI[[#This Row],[City]] &amp;" - "&amp; List_of_Orders_PBI[[#This Row],[State]])</f>
        <v>Bangalore - Karnataka</v>
      </c>
    </row>
    <row r="224" spans="1:15" x14ac:dyDescent="0.3">
      <c r="A224" t="s">
        <v>248</v>
      </c>
      <c r="B224">
        <v>2103</v>
      </c>
      <c r="C224">
        <v>322</v>
      </c>
      <c r="D224">
        <v>8</v>
      </c>
      <c r="E224" t="s">
        <v>12</v>
      </c>
      <c r="F224" t="s">
        <v>13</v>
      </c>
      <c r="G224">
        <f>Order_Details_PBI[[#This Row],[Profit]]/Order_Details_PBI[[#This Row],[Amount]]</f>
        <v>0.15311459819305753</v>
      </c>
      <c r="H224" t="str">
        <f>IF(Order_Details_PBI[[#This Row],[Profit Margine]]&lt;0," Loss",IF(Order_Details_PBI[[#This Row],[Profit Margine]]=0," Break-Even","Profit"))</f>
        <v>Profit</v>
      </c>
      <c r="I224" s="2">
        <v>43391</v>
      </c>
      <c r="J224" t="s">
        <v>771</v>
      </c>
      <c r="K224" t="str">
        <f>UPPER(List_of_Orders_PBI[[#This Row],[CustomerName]])</f>
        <v>ROHAN</v>
      </c>
      <c r="L224" t="s">
        <v>539</v>
      </c>
      <c r="M224" t="s">
        <v>595</v>
      </c>
      <c r="N224" t="str">
        <f>TEXT(List_of_Orders_PBI[[#This Row],[Order Date]],"DD-MMM-YYYY")</f>
        <v>18-Oct-2018</v>
      </c>
      <c r="O224" t="str">
        <f>_xlfn.CONCAT(List_of_Orders_PBI[[#This Row],[City]] &amp;" - "&amp; List_of_Orders_PBI[[#This Row],[State]])</f>
        <v>Mumbai - Maharashtra</v>
      </c>
    </row>
    <row r="225" spans="1:15" x14ac:dyDescent="0.3">
      <c r="A225" t="s">
        <v>249</v>
      </c>
      <c r="B225">
        <v>101</v>
      </c>
      <c r="C225">
        <v>38</v>
      </c>
      <c r="D225">
        <v>2</v>
      </c>
      <c r="E225" t="s">
        <v>7</v>
      </c>
      <c r="F225" t="s">
        <v>34</v>
      </c>
      <c r="G225">
        <f>Order_Details_PBI[[#This Row],[Profit]]/Order_Details_PBI[[#This Row],[Amount]]</f>
        <v>0.37623762376237624</v>
      </c>
      <c r="H225" t="str">
        <f>IF(Order_Details_PBI[[#This Row],[Profit Margine]]&lt;0," Loss",IF(Order_Details_PBI[[#This Row],[Profit Margine]]=0," Break-Even","Profit"))</f>
        <v>Profit</v>
      </c>
      <c r="I225" s="2">
        <v>43393</v>
      </c>
      <c r="J225" t="s">
        <v>772</v>
      </c>
      <c r="K225" t="str">
        <f>UPPER(List_of_Orders_PBI[[#This Row],[CustomerName]])</f>
        <v>SHYAM</v>
      </c>
      <c r="L225" t="s">
        <v>542</v>
      </c>
      <c r="M225" t="s">
        <v>597</v>
      </c>
      <c r="N225" t="str">
        <f>TEXT(List_of_Orders_PBI[[#This Row],[Order Date]],"DD-MMM-YYYY")</f>
        <v>20-Oct-2018</v>
      </c>
      <c r="O225" t="str">
        <f>_xlfn.CONCAT(List_of_Orders_PBI[[#This Row],[City]] &amp;" - "&amp; List_of_Orders_PBI[[#This Row],[State]])</f>
        <v>Indore - Madhya Pradesh</v>
      </c>
    </row>
    <row r="226" spans="1:15" x14ac:dyDescent="0.3">
      <c r="A226" t="s">
        <v>250</v>
      </c>
      <c r="B226">
        <v>911</v>
      </c>
      <c r="C226">
        <v>355</v>
      </c>
      <c r="D226">
        <v>5</v>
      </c>
      <c r="E226" t="s">
        <v>12</v>
      </c>
      <c r="F226" t="s">
        <v>15</v>
      </c>
      <c r="G226">
        <f>Order_Details_PBI[[#This Row],[Profit]]/Order_Details_PBI[[#This Row],[Amount]]</f>
        <v>0.3896816684961581</v>
      </c>
      <c r="H226" t="str">
        <f>IF(Order_Details_PBI[[#This Row],[Profit Margine]]&lt;0," Loss",IF(Order_Details_PBI[[#This Row],[Profit Margine]]=0," Break-Even","Profit"))</f>
        <v>Profit</v>
      </c>
      <c r="I226" s="2">
        <v>43394</v>
      </c>
      <c r="J226" t="s">
        <v>709</v>
      </c>
      <c r="K226" t="str">
        <f>UPPER(List_of_Orders_PBI[[#This Row],[CustomerName]])</f>
        <v>KARTIK</v>
      </c>
      <c r="L226" t="s">
        <v>542</v>
      </c>
      <c r="M226" t="s">
        <v>597</v>
      </c>
      <c r="N226" t="str">
        <f>TEXT(List_of_Orders_PBI[[#This Row],[Order Date]],"DD-MMM-YYYY")</f>
        <v>21-Oct-2018</v>
      </c>
      <c r="O226" t="str">
        <f>_xlfn.CONCAT(List_of_Orders_PBI[[#This Row],[City]] &amp;" - "&amp; List_of_Orders_PBI[[#This Row],[State]])</f>
        <v>Indore - Madhya Pradesh</v>
      </c>
    </row>
    <row r="227" spans="1:15" x14ac:dyDescent="0.3">
      <c r="A227" t="s">
        <v>251</v>
      </c>
      <c r="B227">
        <v>637</v>
      </c>
      <c r="C227">
        <v>261</v>
      </c>
      <c r="D227">
        <v>2</v>
      </c>
      <c r="E227" t="s">
        <v>12</v>
      </c>
      <c r="F227" t="s">
        <v>30</v>
      </c>
      <c r="G227">
        <f>Order_Details_PBI[[#This Row],[Profit]]/Order_Details_PBI[[#This Row],[Amount]]</f>
        <v>0.40973312401883832</v>
      </c>
      <c r="H227" t="str">
        <f>IF(Order_Details_PBI[[#This Row],[Profit Margine]]&lt;0," Loss",IF(Order_Details_PBI[[#This Row],[Profit Margine]]=0," Break-Even","Profit"))</f>
        <v>Profit</v>
      </c>
      <c r="I227" s="2">
        <v>43395</v>
      </c>
      <c r="J227" t="s">
        <v>773</v>
      </c>
      <c r="K227" t="str">
        <f>UPPER(List_of_Orders_PBI[[#This Row],[CustomerName]])</f>
        <v>TANUSHREE</v>
      </c>
      <c r="L227" t="s">
        <v>539</v>
      </c>
      <c r="M227" t="s">
        <v>595</v>
      </c>
      <c r="N227" t="str">
        <f>TEXT(List_of_Orders_PBI[[#This Row],[Order Date]],"DD-MMM-YYYY")</f>
        <v>22-Oct-2018</v>
      </c>
      <c r="O227" t="str">
        <f>_xlfn.CONCAT(List_of_Orders_PBI[[#This Row],[City]] &amp;" - "&amp; List_of_Orders_PBI[[#This Row],[State]])</f>
        <v>Mumbai - Maharashtra</v>
      </c>
    </row>
    <row r="228" spans="1:15" x14ac:dyDescent="0.3">
      <c r="A228" t="s">
        <v>252</v>
      </c>
      <c r="B228">
        <v>156</v>
      </c>
      <c r="C228">
        <v>21</v>
      </c>
      <c r="D228">
        <v>3</v>
      </c>
      <c r="E228" t="s">
        <v>7</v>
      </c>
      <c r="F228" t="s">
        <v>19</v>
      </c>
      <c r="G228">
        <f>Order_Details_PBI[[#This Row],[Profit]]/Order_Details_PBI[[#This Row],[Amount]]</f>
        <v>0.13461538461538461</v>
      </c>
      <c r="H228" t="str">
        <f>IF(Order_Details_PBI[[#This Row],[Profit Margine]]&lt;0," Loss",IF(Order_Details_PBI[[#This Row],[Profit Margine]]=0," Break-Even","Profit"))</f>
        <v>Profit</v>
      </c>
      <c r="I228" s="2">
        <v>43396</v>
      </c>
      <c r="J228" t="s">
        <v>654</v>
      </c>
      <c r="K228" t="str">
        <f>UPPER(List_of_Orders_PBI[[#This Row],[CustomerName]])</f>
        <v>SHEETAL</v>
      </c>
      <c r="L228" t="s">
        <v>542</v>
      </c>
      <c r="M228" t="s">
        <v>597</v>
      </c>
      <c r="N228" t="str">
        <f>TEXT(List_of_Orders_PBI[[#This Row],[Order Date]],"DD-MMM-YYYY")</f>
        <v>23-Oct-2018</v>
      </c>
      <c r="O228" t="str">
        <f>_xlfn.CONCAT(List_of_Orders_PBI[[#This Row],[City]] &amp;" - "&amp; List_of_Orders_PBI[[#This Row],[State]])</f>
        <v>Indore - Madhya Pradesh</v>
      </c>
    </row>
    <row r="229" spans="1:15" x14ac:dyDescent="0.3">
      <c r="A229" t="s">
        <v>253</v>
      </c>
      <c r="B229">
        <v>537</v>
      </c>
      <c r="C229">
        <v>107</v>
      </c>
      <c r="D229">
        <v>3</v>
      </c>
      <c r="E229" t="s">
        <v>9</v>
      </c>
      <c r="F229" t="s">
        <v>16</v>
      </c>
      <c r="G229">
        <f>Order_Details_PBI[[#This Row],[Profit]]/Order_Details_PBI[[#This Row],[Amount]]</f>
        <v>0.19925512104283055</v>
      </c>
      <c r="H229" t="str">
        <f>IF(Order_Details_PBI[[#This Row],[Profit Margine]]&lt;0," Loss",IF(Order_Details_PBI[[#This Row],[Profit Margine]]=0," Break-Even","Profit"))</f>
        <v>Profit</v>
      </c>
      <c r="I229" s="2">
        <v>43397</v>
      </c>
      <c r="J229" t="s">
        <v>774</v>
      </c>
      <c r="K229" t="str">
        <f>UPPER(List_of_Orders_PBI[[#This Row],[CustomerName]])</f>
        <v>NIKITA</v>
      </c>
      <c r="L229" t="s">
        <v>569</v>
      </c>
      <c r="M229" t="s">
        <v>570</v>
      </c>
      <c r="N229" t="str">
        <f>TEXT(List_of_Orders_PBI[[#This Row],[Order Date]],"DD-MMM-YYYY")</f>
        <v>24-Oct-2018</v>
      </c>
      <c r="O229" t="str">
        <f>_xlfn.CONCAT(List_of_Orders_PBI[[#This Row],[City]] &amp;" - "&amp; List_of_Orders_PBI[[#This Row],[State]])</f>
        <v>Chandigarh - Punjab</v>
      </c>
    </row>
    <row r="230" spans="1:15" x14ac:dyDescent="0.3">
      <c r="A230" t="s">
        <v>254</v>
      </c>
      <c r="B230">
        <v>345</v>
      </c>
      <c r="C230">
        <v>38</v>
      </c>
      <c r="D230">
        <v>7</v>
      </c>
      <c r="E230" t="s">
        <v>9</v>
      </c>
      <c r="F230" t="s">
        <v>11</v>
      </c>
      <c r="G230">
        <f>Order_Details_PBI[[#This Row],[Profit]]/Order_Details_PBI[[#This Row],[Amount]]</f>
        <v>0.11014492753623188</v>
      </c>
      <c r="H230" t="str">
        <f>IF(Order_Details_PBI[[#This Row],[Profit Margine]]&lt;0," Loss",IF(Order_Details_PBI[[#This Row],[Profit Margine]]=0," Break-Even","Profit"))</f>
        <v>Profit</v>
      </c>
      <c r="I230" s="2">
        <v>43398</v>
      </c>
      <c r="J230" t="s">
        <v>775</v>
      </c>
      <c r="K230" t="str">
        <f>UPPER(List_of_Orders_PBI[[#This Row],[CustomerName]])</f>
        <v>APOORVA</v>
      </c>
      <c r="L230" t="s">
        <v>572</v>
      </c>
      <c r="M230" t="s">
        <v>570</v>
      </c>
      <c r="N230" t="str">
        <f>TEXT(List_of_Orders_PBI[[#This Row],[Order Date]],"DD-MMM-YYYY")</f>
        <v>25-Oct-2018</v>
      </c>
      <c r="O230" t="str">
        <f>_xlfn.CONCAT(List_of_Orders_PBI[[#This Row],[City]] &amp;" - "&amp; List_of_Orders_PBI[[#This Row],[State]])</f>
        <v>Chandigarh - Haryana</v>
      </c>
    </row>
    <row r="231" spans="1:15" x14ac:dyDescent="0.3">
      <c r="A231" t="s">
        <v>255</v>
      </c>
      <c r="B231">
        <v>41</v>
      </c>
      <c r="C231">
        <v>11</v>
      </c>
      <c r="D231">
        <v>6</v>
      </c>
      <c r="E231" t="s">
        <v>9</v>
      </c>
      <c r="F231" t="s">
        <v>11</v>
      </c>
      <c r="G231">
        <f>Order_Details_PBI[[#This Row],[Profit]]/Order_Details_PBI[[#This Row],[Amount]]</f>
        <v>0.26829268292682928</v>
      </c>
      <c r="H231" t="str">
        <f>IF(Order_Details_PBI[[#This Row],[Profit Margine]]&lt;0," Loss",IF(Order_Details_PBI[[#This Row],[Profit Margine]]=0," Break-Even","Profit"))</f>
        <v>Profit</v>
      </c>
      <c r="I231" s="2">
        <v>43399</v>
      </c>
      <c r="J231" t="s">
        <v>776</v>
      </c>
      <c r="K231" t="str">
        <f>UPPER(List_of_Orders_PBI[[#This Row],[CustomerName]])</f>
        <v>AASTHA</v>
      </c>
      <c r="L231" t="s">
        <v>574</v>
      </c>
      <c r="M231" t="s">
        <v>575</v>
      </c>
      <c r="N231" t="str">
        <f>TEXT(List_of_Orders_PBI[[#This Row],[Order Date]],"DD-MMM-YYYY")</f>
        <v>26-Oct-2018</v>
      </c>
      <c r="O231" t="str">
        <f>_xlfn.CONCAT(List_of_Orders_PBI[[#This Row],[City]] &amp;" - "&amp; List_of_Orders_PBI[[#This Row],[State]])</f>
        <v>Simla - Himachal Pradesh</v>
      </c>
    </row>
    <row r="232" spans="1:15" x14ac:dyDescent="0.3">
      <c r="A232" t="s">
        <v>256</v>
      </c>
      <c r="B232">
        <v>693</v>
      </c>
      <c r="C232">
        <v>254</v>
      </c>
      <c r="D232">
        <v>6</v>
      </c>
      <c r="E232" t="s">
        <v>9</v>
      </c>
      <c r="F232" t="s">
        <v>16</v>
      </c>
      <c r="G232">
        <f>Order_Details_PBI[[#This Row],[Profit]]/Order_Details_PBI[[#This Row],[Amount]]</f>
        <v>0.36652236652236653</v>
      </c>
      <c r="H232" t="str">
        <f>IF(Order_Details_PBI[[#This Row],[Profit Margine]]&lt;0," Loss",IF(Order_Details_PBI[[#This Row],[Profit Margine]]=0," Break-Even","Profit"))</f>
        <v>Profit</v>
      </c>
      <c r="I232" s="2">
        <v>43400</v>
      </c>
      <c r="J232" t="s">
        <v>644</v>
      </c>
      <c r="K232" t="str">
        <f>UPPER(List_of_Orders_PBI[[#This Row],[CustomerName]])</f>
        <v>MAHIMA</v>
      </c>
      <c r="L232" t="s">
        <v>577</v>
      </c>
      <c r="M232" t="s">
        <v>578</v>
      </c>
      <c r="N232" t="str">
        <f>TEXT(List_of_Orders_PBI[[#This Row],[Order Date]],"DD-MMM-YYYY")</f>
        <v>27-Oct-2018</v>
      </c>
      <c r="O232" t="str">
        <f>_xlfn.CONCAT(List_of_Orders_PBI[[#This Row],[City]] &amp;" - "&amp; List_of_Orders_PBI[[#This Row],[State]])</f>
        <v>Gangtok - Sikkim</v>
      </c>
    </row>
    <row r="233" spans="1:15" x14ac:dyDescent="0.3">
      <c r="A233" t="s">
        <v>257</v>
      </c>
      <c r="B233">
        <v>504</v>
      </c>
      <c r="C233">
        <v>116</v>
      </c>
      <c r="D233">
        <v>3</v>
      </c>
      <c r="E233" t="s">
        <v>7</v>
      </c>
      <c r="F233" t="s">
        <v>8</v>
      </c>
      <c r="G233">
        <f>Order_Details_PBI[[#This Row],[Profit]]/Order_Details_PBI[[#This Row],[Amount]]</f>
        <v>0.23015873015873015</v>
      </c>
      <c r="H233" t="str">
        <f>IF(Order_Details_PBI[[#This Row],[Profit Margine]]&lt;0," Loss",IF(Order_Details_PBI[[#This Row],[Profit Margine]]=0," Break-Even","Profit"))</f>
        <v>Profit</v>
      </c>
      <c r="I233" s="2">
        <v>43401</v>
      </c>
      <c r="J233" t="s">
        <v>777</v>
      </c>
      <c r="K233" t="str">
        <f>UPPER(List_of_Orders_PBI[[#This Row],[CustomerName]])</f>
        <v>HARSHITA</v>
      </c>
      <c r="L233" t="s">
        <v>539</v>
      </c>
      <c r="M233" t="s">
        <v>595</v>
      </c>
      <c r="N233" t="str">
        <f>TEXT(List_of_Orders_PBI[[#This Row],[Order Date]],"DD-MMM-YYYY")</f>
        <v>28-Oct-2018</v>
      </c>
      <c r="O233" t="str">
        <f>_xlfn.CONCAT(List_of_Orders_PBI[[#This Row],[City]] &amp;" - "&amp; List_of_Orders_PBI[[#This Row],[State]])</f>
        <v>Mumbai - Maharashtra</v>
      </c>
    </row>
    <row r="234" spans="1:15" x14ac:dyDescent="0.3">
      <c r="A234" t="s">
        <v>258</v>
      </c>
      <c r="B234">
        <v>64</v>
      </c>
      <c r="C234">
        <v>27</v>
      </c>
      <c r="D234">
        <v>5</v>
      </c>
      <c r="E234" t="s">
        <v>9</v>
      </c>
      <c r="F234" t="s">
        <v>11</v>
      </c>
      <c r="G234">
        <f>Order_Details_PBI[[#This Row],[Profit]]/Order_Details_PBI[[#This Row],[Amount]]</f>
        <v>0.421875</v>
      </c>
      <c r="H234" t="str">
        <f>IF(Order_Details_PBI[[#This Row],[Profit Margine]]&lt;0," Loss",IF(Order_Details_PBI[[#This Row],[Profit Margine]]=0," Break-Even","Profit"))</f>
        <v>Profit</v>
      </c>
      <c r="I234" s="2">
        <v>43402</v>
      </c>
      <c r="J234" t="s">
        <v>778</v>
      </c>
      <c r="K234" t="str">
        <f>UPPER(List_of_Orders_PBI[[#This Row],[CustomerName]])</f>
        <v>KRISHNA</v>
      </c>
      <c r="L234" t="s">
        <v>542</v>
      </c>
      <c r="M234" t="s">
        <v>597</v>
      </c>
      <c r="N234" t="str">
        <f>TEXT(List_of_Orders_PBI[[#This Row],[Order Date]],"DD-MMM-YYYY")</f>
        <v>29-Oct-2018</v>
      </c>
      <c r="O234" t="str">
        <f>_xlfn.CONCAT(List_of_Orders_PBI[[#This Row],[City]] &amp;" - "&amp; List_of_Orders_PBI[[#This Row],[State]])</f>
        <v>Indore - Madhya Pradesh</v>
      </c>
    </row>
    <row r="235" spans="1:15" x14ac:dyDescent="0.3">
      <c r="A235" t="s">
        <v>259</v>
      </c>
      <c r="B235">
        <v>16</v>
      </c>
      <c r="C235">
        <v>5</v>
      </c>
      <c r="D235">
        <v>1</v>
      </c>
      <c r="E235" t="s">
        <v>9</v>
      </c>
      <c r="F235" t="s">
        <v>10</v>
      </c>
      <c r="G235">
        <f>Order_Details_PBI[[#This Row],[Profit]]/Order_Details_PBI[[#This Row],[Amount]]</f>
        <v>0.3125</v>
      </c>
      <c r="H235" t="str">
        <f>IF(Order_Details_PBI[[#This Row],[Profit Margine]]&lt;0," Loss",IF(Order_Details_PBI[[#This Row],[Profit Margine]]=0," Break-Even","Profit"))</f>
        <v>Profit</v>
      </c>
      <c r="I235" s="2">
        <v>43402</v>
      </c>
      <c r="J235" t="s">
        <v>779</v>
      </c>
      <c r="K235" t="str">
        <f>UPPER(List_of_Orders_PBI[[#This Row],[CustomerName]])</f>
        <v>ANANYA</v>
      </c>
      <c r="L235" t="s">
        <v>585</v>
      </c>
      <c r="M235" t="s">
        <v>586</v>
      </c>
      <c r="N235" t="str">
        <f>TEXT(List_of_Orders_PBI[[#This Row],[Order Date]],"DD-MMM-YYYY")</f>
        <v>29-Oct-2018</v>
      </c>
      <c r="O235" t="str">
        <f>_xlfn.CONCAT(List_of_Orders_PBI[[#This Row],[City]] &amp;" - "&amp; List_of_Orders_PBI[[#This Row],[State]])</f>
        <v>Hyderabad - Andhra Pradesh</v>
      </c>
    </row>
    <row r="236" spans="1:15" x14ac:dyDescent="0.3">
      <c r="A236" t="s">
        <v>260</v>
      </c>
      <c r="B236">
        <v>52</v>
      </c>
      <c r="C236">
        <v>11</v>
      </c>
      <c r="D236">
        <v>5</v>
      </c>
      <c r="E236" t="s">
        <v>9</v>
      </c>
      <c r="F236" t="s">
        <v>27</v>
      </c>
      <c r="G236">
        <f>Order_Details_PBI[[#This Row],[Profit]]/Order_Details_PBI[[#This Row],[Amount]]</f>
        <v>0.21153846153846154</v>
      </c>
      <c r="H236" t="str">
        <f>IF(Order_Details_PBI[[#This Row],[Profit Margine]]&lt;0," Loss",IF(Order_Details_PBI[[#This Row],[Profit Margine]]=0," Break-Even","Profit"))</f>
        <v>Profit</v>
      </c>
      <c r="I236" s="2">
        <v>43402</v>
      </c>
      <c r="J236" t="s">
        <v>780</v>
      </c>
      <c r="K236" t="str">
        <f>UPPER(List_of_Orders_PBI[[#This Row],[CustomerName]])</f>
        <v>MOUMITA</v>
      </c>
      <c r="L236" t="s">
        <v>536</v>
      </c>
      <c r="M236" t="s">
        <v>537</v>
      </c>
      <c r="N236" t="str">
        <f>TEXT(List_of_Orders_PBI[[#This Row],[Order Date]],"DD-MMM-YYYY")</f>
        <v>29-Oct-2018</v>
      </c>
      <c r="O236" t="str">
        <f>_xlfn.CONCAT(List_of_Orders_PBI[[#This Row],[City]] &amp;" - "&amp; List_of_Orders_PBI[[#This Row],[State]])</f>
        <v>Ahmedabad - Gujarat</v>
      </c>
    </row>
    <row r="237" spans="1:15" x14ac:dyDescent="0.3">
      <c r="A237" t="s">
        <v>261</v>
      </c>
      <c r="B237">
        <v>1298</v>
      </c>
      <c r="C237">
        <v>65</v>
      </c>
      <c r="D237">
        <v>9</v>
      </c>
      <c r="E237" t="s">
        <v>12</v>
      </c>
      <c r="F237" t="s">
        <v>30</v>
      </c>
      <c r="G237">
        <f>Order_Details_PBI[[#This Row],[Profit]]/Order_Details_PBI[[#This Row],[Amount]]</f>
        <v>5.007704160246533E-2</v>
      </c>
      <c r="H237" t="str">
        <f>IF(Order_Details_PBI[[#This Row],[Profit Margine]]&lt;0," Loss",IF(Order_Details_PBI[[#This Row],[Profit Margine]]=0," Break-Even","Profit"))</f>
        <v>Profit</v>
      </c>
      <c r="I237" s="2">
        <v>43402</v>
      </c>
      <c r="J237" t="s">
        <v>781</v>
      </c>
      <c r="K237" t="str">
        <f>UPPER(List_of_Orders_PBI[[#This Row],[CustomerName]])</f>
        <v>ARTI</v>
      </c>
      <c r="L237" t="s">
        <v>539</v>
      </c>
      <c r="M237" t="s">
        <v>540</v>
      </c>
      <c r="N237" t="str">
        <f>TEXT(List_of_Orders_PBI[[#This Row],[Order Date]],"DD-MMM-YYYY")</f>
        <v>29-Oct-2018</v>
      </c>
      <c r="O237" t="str">
        <f>_xlfn.CONCAT(List_of_Orders_PBI[[#This Row],[City]] &amp;" - "&amp; List_of_Orders_PBI[[#This Row],[State]])</f>
        <v>Pune - Maharashtra</v>
      </c>
    </row>
    <row r="238" spans="1:15" x14ac:dyDescent="0.3">
      <c r="A238" t="s">
        <v>262</v>
      </c>
      <c r="B238">
        <v>263</v>
      </c>
      <c r="C238">
        <v>50</v>
      </c>
      <c r="D238">
        <v>5</v>
      </c>
      <c r="E238" t="s">
        <v>9</v>
      </c>
      <c r="F238" t="s">
        <v>10</v>
      </c>
      <c r="G238">
        <f>Order_Details_PBI[[#This Row],[Profit]]/Order_Details_PBI[[#This Row],[Amount]]</f>
        <v>0.19011406844106463</v>
      </c>
      <c r="H238" t="str">
        <f>IF(Order_Details_PBI[[#This Row],[Profit Margine]]&lt;0," Loss",IF(Order_Details_PBI[[#This Row],[Profit Margine]]=0," Break-Even","Profit"))</f>
        <v>Profit</v>
      </c>
      <c r="I238" s="2">
        <v>43402</v>
      </c>
      <c r="J238" t="s">
        <v>782</v>
      </c>
      <c r="K238" t="str">
        <f>UPPER(List_of_Orders_PBI[[#This Row],[CustomerName]])</f>
        <v>PALAK</v>
      </c>
      <c r="L238" t="s">
        <v>539</v>
      </c>
      <c r="M238" t="s">
        <v>595</v>
      </c>
      <c r="N238" t="str">
        <f>TEXT(List_of_Orders_PBI[[#This Row],[Order Date]],"DD-MMM-YYYY")</f>
        <v>29-Oct-2018</v>
      </c>
      <c r="O238" t="str">
        <f>_xlfn.CONCAT(List_of_Orders_PBI[[#This Row],[City]] &amp;" - "&amp; List_of_Orders_PBI[[#This Row],[State]])</f>
        <v>Mumbai - Maharashtra</v>
      </c>
    </row>
    <row r="239" spans="1:15" x14ac:dyDescent="0.3">
      <c r="A239" t="s">
        <v>263</v>
      </c>
      <c r="B239">
        <v>70</v>
      </c>
      <c r="C239">
        <v>26</v>
      </c>
      <c r="D239">
        <v>5</v>
      </c>
      <c r="E239" t="s">
        <v>9</v>
      </c>
      <c r="F239" t="s">
        <v>11</v>
      </c>
      <c r="G239">
        <f>Order_Details_PBI[[#This Row],[Profit]]/Order_Details_PBI[[#This Row],[Amount]]</f>
        <v>0.37142857142857144</v>
      </c>
      <c r="H239" t="str">
        <f>IF(Order_Details_PBI[[#This Row],[Profit Margine]]&lt;0," Loss",IF(Order_Details_PBI[[#This Row],[Profit Margine]]=0," Break-Even","Profit"))</f>
        <v>Profit</v>
      </c>
      <c r="I239" s="2">
        <v>43402</v>
      </c>
      <c r="J239" t="s">
        <v>729</v>
      </c>
      <c r="K239" t="str">
        <f>UPPER(List_of_Orders_PBI[[#This Row],[CustomerName]])</f>
        <v>SANJANA</v>
      </c>
      <c r="L239" t="s">
        <v>542</v>
      </c>
      <c r="M239" t="s">
        <v>597</v>
      </c>
      <c r="N239" t="str">
        <f>TEXT(List_of_Orders_PBI[[#This Row],[Order Date]],"DD-MMM-YYYY")</f>
        <v>29-Oct-2018</v>
      </c>
      <c r="O239" t="str">
        <f>_xlfn.CONCAT(List_of_Orders_PBI[[#This Row],[City]] &amp;" - "&amp; List_of_Orders_PBI[[#This Row],[State]])</f>
        <v>Indore - Madhya Pradesh</v>
      </c>
    </row>
    <row r="240" spans="1:15" x14ac:dyDescent="0.3">
      <c r="A240" t="s">
        <v>264</v>
      </c>
      <c r="B240">
        <v>1250</v>
      </c>
      <c r="C240">
        <v>486</v>
      </c>
      <c r="D240">
        <v>7</v>
      </c>
      <c r="E240" t="s">
        <v>9</v>
      </c>
      <c r="F240" t="s">
        <v>16</v>
      </c>
      <c r="G240">
        <f>Order_Details_PBI[[#This Row],[Profit]]/Order_Details_PBI[[#This Row],[Amount]]</f>
        <v>0.38879999999999998</v>
      </c>
      <c r="H240" t="str">
        <f>IF(Order_Details_PBI[[#This Row],[Profit Margine]]&lt;0," Loss",IF(Order_Details_PBI[[#This Row],[Profit Margine]]=0," Break-Even","Profit"))</f>
        <v>Profit</v>
      </c>
      <c r="I240" s="2">
        <v>43403</v>
      </c>
      <c r="J240" t="s">
        <v>783</v>
      </c>
      <c r="K240" t="str">
        <f>UPPER(List_of_Orders_PBI[[#This Row],[CustomerName]])</f>
        <v>PRANJALI</v>
      </c>
      <c r="L240" t="s">
        <v>548</v>
      </c>
      <c r="M240" t="s">
        <v>549</v>
      </c>
      <c r="N240" t="str">
        <f>TEXT(List_of_Orders_PBI[[#This Row],[Order Date]],"DD-MMM-YYYY")</f>
        <v>30-Oct-2018</v>
      </c>
      <c r="O240" t="str">
        <f>_xlfn.CONCAT(List_of_Orders_PBI[[#This Row],[City]] &amp;" - "&amp; List_of_Orders_PBI[[#This Row],[State]])</f>
        <v>Kolkata - West Bengal</v>
      </c>
    </row>
    <row r="241" spans="1:15" x14ac:dyDescent="0.3">
      <c r="A241" t="s">
        <v>265</v>
      </c>
      <c r="B241">
        <v>246</v>
      </c>
      <c r="C241">
        <v>61</v>
      </c>
      <c r="D241">
        <v>2</v>
      </c>
      <c r="E241" t="s">
        <v>7</v>
      </c>
      <c r="F241" t="s">
        <v>8</v>
      </c>
      <c r="G241">
        <f>Order_Details_PBI[[#This Row],[Profit]]/Order_Details_PBI[[#This Row],[Amount]]</f>
        <v>0.24796747967479674</v>
      </c>
      <c r="H241" t="str">
        <f>IF(Order_Details_PBI[[#This Row],[Profit Margine]]&lt;0," Loss",IF(Order_Details_PBI[[#This Row],[Profit Margine]]=0," Break-Even","Profit"))</f>
        <v>Profit</v>
      </c>
      <c r="I241" s="2">
        <v>43404</v>
      </c>
      <c r="J241" t="s">
        <v>784</v>
      </c>
      <c r="K241" t="str">
        <f>UPPER(List_of_Orders_PBI[[#This Row],[CustomerName]])</f>
        <v>SNEHA</v>
      </c>
      <c r="L241" t="s">
        <v>551</v>
      </c>
      <c r="M241" t="s">
        <v>552</v>
      </c>
      <c r="N241" t="str">
        <f>TEXT(List_of_Orders_PBI[[#This Row],[Order Date]],"DD-MMM-YYYY")</f>
        <v>31-Oct-2018</v>
      </c>
      <c r="O241" t="str">
        <f>_xlfn.CONCAT(List_of_Orders_PBI[[#This Row],[City]] &amp;" - "&amp; List_of_Orders_PBI[[#This Row],[State]])</f>
        <v>Bangalore - Karnataka</v>
      </c>
    </row>
    <row r="242" spans="1:15" x14ac:dyDescent="0.3">
      <c r="A242" t="s">
        <v>266</v>
      </c>
      <c r="B242">
        <v>22</v>
      </c>
      <c r="C242">
        <v>11</v>
      </c>
      <c r="D242">
        <v>2</v>
      </c>
      <c r="E242" t="s">
        <v>9</v>
      </c>
      <c r="F242" t="s">
        <v>53</v>
      </c>
      <c r="G242">
        <f>Order_Details_PBI[[#This Row],[Profit]]/Order_Details_PBI[[#This Row],[Amount]]</f>
        <v>0.5</v>
      </c>
      <c r="H242" t="str">
        <f>IF(Order_Details_PBI[[#This Row],[Profit Margine]]&lt;0," Loss",IF(Order_Details_PBI[[#This Row],[Profit Margine]]=0," Break-Even","Profit"))</f>
        <v>Profit</v>
      </c>
      <c r="I242" s="2">
        <v>43405</v>
      </c>
      <c r="J242" t="s">
        <v>785</v>
      </c>
      <c r="K242" t="str">
        <f>UPPER(List_of_Orders_PBI[[#This Row],[CustomerName]])</f>
        <v>ASHVINI</v>
      </c>
      <c r="L242" t="s">
        <v>539</v>
      </c>
      <c r="M242" t="s">
        <v>595</v>
      </c>
      <c r="N242" t="str">
        <f>TEXT(List_of_Orders_PBI[[#This Row],[Order Date]],"DD-MMM-YYYY")</f>
        <v>01-Nov-2018</v>
      </c>
      <c r="O242" t="str">
        <f>_xlfn.CONCAT(List_of_Orders_PBI[[#This Row],[City]] &amp;" - "&amp; List_of_Orders_PBI[[#This Row],[State]])</f>
        <v>Mumbai - Maharashtra</v>
      </c>
    </row>
    <row r="243" spans="1:15" x14ac:dyDescent="0.3">
      <c r="A243" t="s">
        <v>267</v>
      </c>
      <c r="B243">
        <v>1543</v>
      </c>
      <c r="C243">
        <v>370</v>
      </c>
      <c r="D243">
        <v>8</v>
      </c>
      <c r="E243" t="s">
        <v>12</v>
      </c>
      <c r="F243" t="s">
        <v>30</v>
      </c>
      <c r="G243">
        <f>Order_Details_PBI[[#This Row],[Profit]]/Order_Details_PBI[[#This Row],[Amount]]</f>
        <v>0.23979261179520414</v>
      </c>
      <c r="H243" t="str">
        <f>IF(Order_Details_PBI[[#This Row],[Profit Margine]]&lt;0," Loss",IF(Order_Details_PBI[[#This Row],[Profit Margine]]=0," Break-Even","Profit"))</f>
        <v>Profit</v>
      </c>
      <c r="I243" s="2">
        <v>43406</v>
      </c>
      <c r="J243" t="s">
        <v>654</v>
      </c>
      <c r="K243" t="str">
        <f>UPPER(List_of_Orders_PBI[[#This Row],[CustomerName]])</f>
        <v>SHEETAL</v>
      </c>
      <c r="L243" t="s">
        <v>542</v>
      </c>
      <c r="M243" t="s">
        <v>597</v>
      </c>
      <c r="N243" t="str">
        <f>TEXT(List_of_Orders_PBI[[#This Row],[Order Date]],"DD-MMM-YYYY")</f>
        <v>02-Nov-2018</v>
      </c>
      <c r="O243" t="str">
        <f>_xlfn.CONCAT(List_of_Orders_PBI[[#This Row],[City]] &amp;" - "&amp; List_of_Orders_PBI[[#This Row],[State]])</f>
        <v>Indore - Madhya Pradesh</v>
      </c>
    </row>
    <row r="244" spans="1:15" x14ac:dyDescent="0.3">
      <c r="A244" t="s">
        <v>268</v>
      </c>
      <c r="B244">
        <v>50</v>
      </c>
      <c r="C244">
        <v>7</v>
      </c>
      <c r="D244">
        <v>6</v>
      </c>
      <c r="E244" t="s">
        <v>9</v>
      </c>
      <c r="F244" t="s">
        <v>53</v>
      </c>
      <c r="G244">
        <f>Order_Details_PBI[[#This Row],[Profit]]/Order_Details_PBI[[#This Row],[Amount]]</f>
        <v>0.14000000000000001</v>
      </c>
      <c r="H244" t="str">
        <f>IF(Order_Details_PBI[[#This Row],[Profit Margine]]&lt;0," Loss",IF(Order_Details_PBI[[#This Row],[Profit Margine]]=0," Break-Even","Profit"))</f>
        <v>Profit</v>
      </c>
      <c r="I244" s="2">
        <v>43407</v>
      </c>
      <c r="J244" t="s">
        <v>786</v>
      </c>
      <c r="K244" t="str">
        <f>UPPER(List_of_Orders_PBI[[#This Row],[CustomerName]])</f>
        <v>MRUNAL</v>
      </c>
      <c r="L244" t="s">
        <v>539</v>
      </c>
      <c r="M244" t="s">
        <v>595</v>
      </c>
      <c r="N244" t="str">
        <f>TEXT(List_of_Orders_PBI[[#This Row],[Order Date]],"DD-MMM-YYYY")</f>
        <v>03-Nov-2018</v>
      </c>
      <c r="O244" t="str">
        <f>_xlfn.CONCAT(List_of_Orders_PBI[[#This Row],[City]] &amp;" - "&amp; List_of_Orders_PBI[[#This Row],[State]])</f>
        <v>Mumbai - Maharashtra</v>
      </c>
    </row>
    <row r="245" spans="1:15" x14ac:dyDescent="0.3">
      <c r="A245" t="s">
        <v>269</v>
      </c>
      <c r="B245">
        <v>86</v>
      </c>
      <c r="C245">
        <v>8</v>
      </c>
      <c r="D245">
        <v>2</v>
      </c>
      <c r="E245" t="s">
        <v>9</v>
      </c>
      <c r="F245" t="s">
        <v>16</v>
      </c>
      <c r="G245">
        <f>Order_Details_PBI[[#This Row],[Profit]]/Order_Details_PBI[[#This Row],[Amount]]</f>
        <v>9.3023255813953487E-2</v>
      </c>
      <c r="H245" t="str">
        <f>IF(Order_Details_PBI[[#This Row],[Profit Margine]]&lt;0," Loss",IF(Order_Details_PBI[[#This Row],[Profit Margine]]=0," Break-Even","Profit"))</f>
        <v>Profit</v>
      </c>
      <c r="I245" s="2">
        <v>43407</v>
      </c>
      <c r="J245" t="s">
        <v>787</v>
      </c>
      <c r="K245" t="str">
        <f>UPPER(List_of_Orders_PBI[[#This Row],[CustomerName]])</f>
        <v>SWATI</v>
      </c>
      <c r="L245" t="s">
        <v>542</v>
      </c>
      <c r="M245" t="s">
        <v>597</v>
      </c>
      <c r="N245" t="str">
        <f>TEXT(List_of_Orders_PBI[[#This Row],[Order Date]],"DD-MMM-YYYY")</f>
        <v>03-Nov-2018</v>
      </c>
      <c r="O245" t="str">
        <f>_xlfn.CONCAT(List_of_Orders_PBI[[#This Row],[City]] &amp;" - "&amp; List_of_Orders_PBI[[#This Row],[State]])</f>
        <v>Indore - Madhya Pradesh</v>
      </c>
    </row>
    <row r="246" spans="1:15" x14ac:dyDescent="0.3">
      <c r="A246" t="s">
        <v>270</v>
      </c>
      <c r="B246">
        <v>274</v>
      </c>
      <c r="C246">
        <v>-7</v>
      </c>
      <c r="D246">
        <v>4</v>
      </c>
      <c r="E246" t="s">
        <v>12</v>
      </c>
      <c r="F246" t="s">
        <v>15</v>
      </c>
      <c r="G246">
        <f>Order_Details_PBI[[#This Row],[Profit]]/Order_Details_PBI[[#This Row],[Amount]]</f>
        <v>-2.5547445255474453E-2</v>
      </c>
      <c r="H246" t="str">
        <f>IF(Order_Details_PBI[[#This Row],[Profit Margine]]&lt;0," Loss",IF(Order_Details_PBI[[#This Row],[Profit Margine]]=0," Break-Even","Profit"))</f>
        <v xml:space="preserve"> Loss</v>
      </c>
      <c r="I246" s="2">
        <v>43407</v>
      </c>
      <c r="J246" t="s">
        <v>788</v>
      </c>
      <c r="K246" t="str">
        <f>UPPER(List_of_Orders_PBI[[#This Row],[CustomerName]])</f>
        <v>SNEL</v>
      </c>
      <c r="L246" t="s">
        <v>566</v>
      </c>
      <c r="M246" t="s">
        <v>567</v>
      </c>
      <c r="N246" t="str">
        <f>TEXT(List_of_Orders_PBI[[#This Row],[Order Date]],"DD-MMM-YYYY")</f>
        <v>03-Nov-2018</v>
      </c>
      <c r="O246" t="str">
        <f>_xlfn.CONCAT(List_of_Orders_PBI[[#This Row],[City]] &amp;" - "&amp; List_of_Orders_PBI[[#This Row],[State]])</f>
        <v xml:space="preserve">Thiruvananthapuram - Kerala </v>
      </c>
    </row>
    <row r="247" spans="1:15" x14ac:dyDescent="0.3">
      <c r="A247" t="s">
        <v>271</v>
      </c>
      <c r="B247">
        <v>94</v>
      </c>
      <c r="C247">
        <v>7</v>
      </c>
      <c r="D247">
        <v>7</v>
      </c>
      <c r="E247" t="s">
        <v>9</v>
      </c>
      <c r="F247" t="s">
        <v>27</v>
      </c>
      <c r="G247">
        <f>Order_Details_PBI[[#This Row],[Profit]]/Order_Details_PBI[[#This Row],[Amount]]</f>
        <v>7.4468085106382975E-2</v>
      </c>
      <c r="H247" t="str">
        <f>IF(Order_Details_PBI[[#This Row],[Profit Margine]]&lt;0," Loss",IF(Order_Details_PBI[[#This Row],[Profit Margine]]=0," Break-Even","Profit"))</f>
        <v>Profit</v>
      </c>
      <c r="I247" s="2">
        <v>43407</v>
      </c>
      <c r="J247" t="s">
        <v>789</v>
      </c>
      <c r="K247" t="str">
        <f>UPPER(List_of_Orders_PBI[[#This Row],[CustomerName]])</f>
        <v>SOODESH</v>
      </c>
      <c r="L247" t="s">
        <v>569</v>
      </c>
      <c r="M247" t="s">
        <v>570</v>
      </c>
      <c r="N247" t="str">
        <f>TEXT(List_of_Orders_PBI[[#This Row],[Order Date]],"DD-MMM-YYYY")</f>
        <v>03-Nov-2018</v>
      </c>
      <c r="O247" t="str">
        <f>_xlfn.CONCAT(List_of_Orders_PBI[[#This Row],[City]] &amp;" - "&amp; List_of_Orders_PBI[[#This Row],[State]])</f>
        <v>Chandigarh - Punjab</v>
      </c>
    </row>
    <row r="248" spans="1:15" x14ac:dyDescent="0.3">
      <c r="A248" t="s">
        <v>272</v>
      </c>
      <c r="B248">
        <v>643</v>
      </c>
      <c r="C248">
        <v>225</v>
      </c>
      <c r="D248">
        <v>2</v>
      </c>
      <c r="E248" t="s">
        <v>12</v>
      </c>
      <c r="F248" t="s">
        <v>30</v>
      </c>
      <c r="G248">
        <f>Order_Details_PBI[[#This Row],[Profit]]/Order_Details_PBI[[#This Row],[Amount]]</f>
        <v>0.34992223950233281</v>
      </c>
      <c r="H248" t="str">
        <f>IF(Order_Details_PBI[[#This Row],[Profit Margine]]&lt;0," Loss",IF(Order_Details_PBI[[#This Row],[Profit Margine]]=0," Break-Even","Profit"))</f>
        <v>Profit</v>
      </c>
      <c r="I248" s="2">
        <v>43407</v>
      </c>
      <c r="J248" t="s">
        <v>790</v>
      </c>
      <c r="K248" t="str">
        <f>UPPER(List_of_Orders_PBI[[#This Row],[CustomerName]])</f>
        <v>ANIKET</v>
      </c>
      <c r="L248" t="s">
        <v>572</v>
      </c>
      <c r="M248" t="s">
        <v>570</v>
      </c>
      <c r="N248" t="str">
        <f>TEXT(List_of_Orders_PBI[[#This Row],[Order Date]],"DD-MMM-YYYY")</f>
        <v>03-Nov-2018</v>
      </c>
      <c r="O248" t="str">
        <f>_xlfn.CONCAT(List_of_Orders_PBI[[#This Row],[City]] &amp;" - "&amp; List_of_Orders_PBI[[#This Row],[State]])</f>
        <v>Chandigarh - Haryana</v>
      </c>
    </row>
    <row r="249" spans="1:15" x14ac:dyDescent="0.3">
      <c r="A249" t="s">
        <v>273</v>
      </c>
      <c r="B249">
        <v>147</v>
      </c>
      <c r="C249">
        <v>21</v>
      </c>
      <c r="D249">
        <v>3</v>
      </c>
      <c r="E249" t="s">
        <v>7</v>
      </c>
      <c r="F249" t="s">
        <v>34</v>
      </c>
      <c r="G249">
        <f>Order_Details_PBI[[#This Row],[Profit]]/Order_Details_PBI[[#This Row],[Amount]]</f>
        <v>0.14285714285714285</v>
      </c>
      <c r="H249" t="str">
        <f>IF(Order_Details_PBI[[#This Row],[Profit Margine]]&lt;0," Loss",IF(Order_Details_PBI[[#This Row],[Profit Margine]]=0," Break-Even","Profit"))</f>
        <v>Profit</v>
      </c>
      <c r="I249" s="2">
        <v>43407</v>
      </c>
      <c r="J249" t="s">
        <v>771</v>
      </c>
      <c r="K249" t="str">
        <f>UPPER(List_of_Orders_PBI[[#This Row],[CustomerName]])</f>
        <v>ROHAN</v>
      </c>
      <c r="L249" t="s">
        <v>574</v>
      </c>
      <c r="M249" t="s">
        <v>575</v>
      </c>
      <c r="N249" t="str">
        <f>TEXT(List_of_Orders_PBI[[#This Row],[Order Date]],"DD-MMM-YYYY")</f>
        <v>03-Nov-2018</v>
      </c>
      <c r="O249" t="str">
        <f>_xlfn.CONCAT(List_of_Orders_PBI[[#This Row],[City]] &amp;" - "&amp; List_of_Orders_PBI[[#This Row],[State]])</f>
        <v>Simla - Himachal Pradesh</v>
      </c>
    </row>
    <row r="250" spans="1:15" x14ac:dyDescent="0.3">
      <c r="A250" t="s">
        <v>274</v>
      </c>
      <c r="B250">
        <v>336</v>
      </c>
      <c r="C250">
        <v>123</v>
      </c>
      <c r="D250">
        <v>3</v>
      </c>
      <c r="E250" t="s">
        <v>12</v>
      </c>
      <c r="F250" t="s">
        <v>15</v>
      </c>
      <c r="G250">
        <f>Order_Details_PBI[[#This Row],[Profit]]/Order_Details_PBI[[#This Row],[Amount]]</f>
        <v>0.36607142857142855</v>
      </c>
      <c r="H250" t="str">
        <f>IF(Order_Details_PBI[[#This Row],[Profit Margine]]&lt;0," Loss",IF(Order_Details_PBI[[#This Row],[Profit Margine]]=0," Break-Even","Profit"))</f>
        <v>Profit</v>
      </c>
      <c r="I250" s="2">
        <v>43408</v>
      </c>
      <c r="J250" t="s">
        <v>791</v>
      </c>
      <c r="K250" t="str">
        <f>UPPER(List_of_Orders_PBI[[#This Row],[CustomerName]])</f>
        <v>K</v>
      </c>
      <c r="L250" t="s">
        <v>577</v>
      </c>
      <c r="M250" t="s">
        <v>578</v>
      </c>
      <c r="N250" t="str">
        <f>TEXT(List_of_Orders_PBI[[#This Row],[Order Date]],"DD-MMM-YYYY")</f>
        <v>04-Nov-2018</v>
      </c>
      <c r="O250" t="str">
        <f>_xlfn.CONCAT(List_of_Orders_PBI[[#This Row],[City]] &amp;" - "&amp; List_of_Orders_PBI[[#This Row],[State]])</f>
        <v>Gangtok - Sikkim</v>
      </c>
    </row>
    <row r="251" spans="1:15" x14ac:dyDescent="0.3">
      <c r="A251" t="s">
        <v>275</v>
      </c>
      <c r="B251">
        <v>45</v>
      </c>
      <c r="C251">
        <v>1</v>
      </c>
      <c r="D251">
        <v>3</v>
      </c>
      <c r="E251" t="s">
        <v>9</v>
      </c>
      <c r="F251" t="s">
        <v>22</v>
      </c>
      <c r="G251">
        <f>Order_Details_PBI[[#This Row],[Profit]]/Order_Details_PBI[[#This Row],[Amount]]</f>
        <v>2.2222222222222223E-2</v>
      </c>
      <c r="H251" t="str">
        <f>IF(Order_Details_PBI[[#This Row],[Profit Margine]]&lt;0," Loss",IF(Order_Details_PBI[[#This Row],[Profit Margine]]=0," Break-Even","Profit"))</f>
        <v>Profit</v>
      </c>
      <c r="I251" s="2">
        <v>43409</v>
      </c>
      <c r="J251" t="s">
        <v>739</v>
      </c>
      <c r="K251" t="str">
        <f>UPPER(List_of_Orders_PBI[[#This Row],[CustomerName]])</f>
        <v>ABHISHEK</v>
      </c>
      <c r="L251" t="s">
        <v>580</v>
      </c>
      <c r="M251" t="s">
        <v>580</v>
      </c>
      <c r="N251" t="str">
        <f>TEXT(List_of_Orders_PBI[[#This Row],[Order Date]],"DD-MMM-YYYY")</f>
        <v>05-Nov-2018</v>
      </c>
      <c r="O251" t="str">
        <f>_xlfn.CONCAT(List_of_Orders_PBI[[#This Row],[City]] &amp;" - "&amp; List_of_Orders_PBI[[#This Row],[State]])</f>
        <v>Goa - Goa</v>
      </c>
    </row>
    <row r="252" spans="1:15" x14ac:dyDescent="0.3">
      <c r="A252" t="s">
        <v>276</v>
      </c>
      <c r="B252">
        <v>10</v>
      </c>
      <c r="C252">
        <v>2</v>
      </c>
      <c r="D252">
        <v>2</v>
      </c>
      <c r="E252" t="s">
        <v>9</v>
      </c>
      <c r="F252" t="s">
        <v>11</v>
      </c>
      <c r="G252">
        <f>Order_Details_PBI[[#This Row],[Profit]]/Order_Details_PBI[[#This Row],[Amount]]</f>
        <v>0.2</v>
      </c>
      <c r="H252" t="str">
        <f>IF(Order_Details_PBI[[#This Row],[Profit Margine]]&lt;0," Loss",IF(Order_Details_PBI[[#This Row],[Profit Margine]]=0," Break-Even","Profit"))</f>
        <v>Profit</v>
      </c>
      <c r="I252" s="2">
        <v>43410</v>
      </c>
      <c r="J252" t="s">
        <v>792</v>
      </c>
      <c r="K252" t="str">
        <f>UPPER(List_of_Orders_PBI[[#This Row],[CustomerName]])</f>
        <v>KUSHAL</v>
      </c>
      <c r="L252" t="s">
        <v>582</v>
      </c>
      <c r="M252" t="s">
        <v>583</v>
      </c>
      <c r="N252" t="str">
        <f>TEXT(List_of_Orders_PBI[[#This Row],[Order Date]],"DD-MMM-YYYY")</f>
        <v>06-Nov-2018</v>
      </c>
      <c r="O252" t="str">
        <f>_xlfn.CONCAT(List_of_Orders_PBI[[#This Row],[City]] &amp;" - "&amp; List_of_Orders_PBI[[#This Row],[State]])</f>
        <v>Kohima - Nagaland</v>
      </c>
    </row>
    <row r="253" spans="1:15" x14ac:dyDescent="0.3">
      <c r="A253" t="s">
        <v>277</v>
      </c>
      <c r="B253">
        <v>320</v>
      </c>
      <c r="C253">
        <v>144</v>
      </c>
      <c r="D253">
        <v>1</v>
      </c>
      <c r="E253" t="s">
        <v>12</v>
      </c>
      <c r="F253" t="s">
        <v>30</v>
      </c>
      <c r="G253">
        <f>Order_Details_PBI[[#This Row],[Profit]]/Order_Details_PBI[[#This Row],[Amount]]</f>
        <v>0.45</v>
      </c>
      <c r="H253" t="str">
        <f>IF(Order_Details_PBI[[#This Row],[Profit Margine]]&lt;0," Loss",IF(Order_Details_PBI[[#This Row],[Profit Margine]]=0," Break-Even","Profit"))</f>
        <v>Profit</v>
      </c>
      <c r="I253" s="2">
        <v>43411</v>
      </c>
      <c r="J253" t="s">
        <v>793</v>
      </c>
      <c r="K253" t="str">
        <f>UPPER(List_of_Orders_PBI[[#This Row],[CustomerName]])</f>
        <v>SOUMYABRATA</v>
      </c>
      <c r="L253" t="s">
        <v>585</v>
      </c>
      <c r="M253" t="s">
        <v>586</v>
      </c>
      <c r="N253" t="str">
        <f>TEXT(List_of_Orders_PBI[[#This Row],[Order Date]],"DD-MMM-YYYY")</f>
        <v>07-Nov-2018</v>
      </c>
      <c r="O253" t="str">
        <f>_xlfn.CONCAT(List_of_Orders_PBI[[#This Row],[City]] &amp;" - "&amp; List_of_Orders_PBI[[#This Row],[State]])</f>
        <v>Hyderabad - Andhra Pradesh</v>
      </c>
    </row>
    <row r="254" spans="1:15" x14ac:dyDescent="0.3">
      <c r="A254" t="s">
        <v>278</v>
      </c>
      <c r="B254">
        <v>39</v>
      </c>
      <c r="C254">
        <v>16</v>
      </c>
      <c r="D254">
        <v>6</v>
      </c>
      <c r="E254" t="s">
        <v>9</v>
      </c>
      <c r="F254" t="s">
        <v>53</v>
      </c>
      <c r="G254">
        <f>Order_Details_PBI[[#This Row],[Profit]]/Order_Details_PBI[[#This Row],[Amount]]</f>
        <v>0.41025641025641024</v>
      </c>
      <c r="H254" t="str">
        <f>IF(Order_Details_PBI[[#This Row],[Profit Margine]]&lt;0," Loss",IF(Order_Details_PBI[[#This Row],[Profit Margine]]=0," Break-Even","Profit"))</f>
        <v>Profit</v>
      </c>
      <c r="I254" s="2">
        <v>43412</v>
      </c>
      <c r="J254" t="s">
        <v>794</v>
      </c>
      <c r="K254" t="str">
        <f>UPPER(List_of_Orders_PBI[[#This Row],[CustomerName]])</f>
        <v>GAURAV</v>
      </c>
      <c r="L254" t="s">
        <v>536</v>
      </c>
      <c r="M254" t="s">
        <v>537</v>
      </c>
      <c r="N254" t="str">
        <f>TEXT(List_of_Orders_PBI[[#This Row],[Order Date]],"DD-MMM-YYYY")</f>
        <v>08-Nov-2018</v>
      </c>
      <c r="O254" t="str">
        <f>_xlfn.CONCAT(List_of_Orders_PBI[[#This Row],[City]] &amp;" - "&amp; List_of_Orders_PBI[[#This Row],[State]])</f>
        <v>Ahmedabad - Gujarat</v>
      </c>
    </row>
    <row r="255" spans="1:15" x14ac:dyDescent="0.3">
      <c r="A255" t="s">
        <v>279</v>
      </c>
      <c r="B255">
        <v>149</v>
      </c>
      <c r="C255">
        <v>48</v>
      </c>
      <c r="D255">
        <v>6</v>
      </c>
      <c r="E255" t="s">
        <v>9</v>
      </c>
      <c r="F255" t="s">
        <v>10</v>
      </c>
      <c r="G255">
        <f>Order_Details_PBI[[#This Row],[Profit]]/Order_Details_PBI[[#This Row],[Amount]]</f>
        <v>0.32214765100671139</v>
      </c>
      <c r="H255" t="str">
        <f>IF(Order_Details_PBI[[#This Row],[Profit Margine]]&lt;0," Loss",IF(Order_Details_PBI[[#This Row],[Profit Margine]]=0," Break-Even","Profit"))</f>
        <v>Profit</v>
      </c>
      <c r="I255" s="2">
        <v>43412</v>
      </c>
      <c r="J255" t="s">
        <v>701</v>
      </c>
      <c r="K255" t="str">
        <f>UPPER(List_of_Orders_PBI[[#This Row],[CustomerName]])</f>
        <v>SHUBHAM</v>
      </c>
      <c r="L255" t="s">
        <v>539</v>
      </c>
      <c r="M255" t="s">
        <v>540</v>
      </c>
      <c r="N255" t="str">
        <f>TEXT(List_of_Orders_PBI[[#This Row],[Order Date]],"DD-MMM-YYYY")</f>
        <v>08-Nov-2018</v>
      </c>
      <c r="O255" t="str">
        <f>_xlfn.CONCAT(List_of_Orders_PBI[[#This Row],[City]] &amp;" - "&amp; List_of_Orders_PBI[[#This Row],[State]])</f>
        <v>Pune - Maharashtra</v>
      </c>
    </row>
    <row r="256" spans="1:15" x14ac:dyDescent="0.3">
      <c r="A256" t="s">
        <v>280</v>
      </c>
      <c r="B256">
        <v>829</v>
      </c>
      <c r="C256">
        <v>19</v>
      </c>
      <c r="D256">
        <v>4</v>
      </c>
      <c r="E256" t="s">
        <v>12</v>
      </c>
      <c r="F256" t="s">
        <v>30</v>
      </c>
      <c r="G256">
        <f>Order_Details_PBI[[#This Row],[Profit]]/Order_Details_PBI[[#This Row],[Amount]]</f>
        <v>2.2919179734620022E-2</v>
      </c>
      <c r="H256" t="str">
        <f>IF(Order_Details_PBI[[#This Row],[Profit Margine]]&lt;0," Loss",IF(Order_Details_PBI[[#This Row],[Profit Margine]]=0," Break-Even","Profit"))</f>
        <v>Profit</v>
      </c>
      <c r="I256" s="2">
        <v>43412</v>
      </c>
      <c r="J256" t="s">
        <v>795</v>
      </c>
      <c r="K256" t="str">
        <f>UPPER(List_of_Orders_PBI[[#This Row],[CustomerName]])</f>
        <v>ABHIJEET</v>
      </c>
      <c r="L256" t="s">
        <v>542</v>
      </c>
      <c r="M256" t="s">
        <v>543</v>
      </c>
      <c r="N256" t="str">
        <f>TEXT(List_of_Orders_PBI[[#This Row],[Order Date]],"DD-MMM-YYYY")</f>
        <v>08-Nov-2018</v>
      </c>
      <c r="O256" t="str">
        <f>_xlfn.CONCAT(List_of_Orders_PBI[[#This Row],[City]] &amp;" - "&amp; List_of_Orders_PBI[[#This Row],[State]])</f>
        <v>Bhopal - Madhya Pradesh</v>
      </c>
    </row>
    <row r="257" spans="1:15" x14ac:dyDescent="0.3">
      <c r="A257" t="s">
        <v>281</v>
      </c>
      <c r="B257">
        <v>74</v>
      </c>
      <c r="C257">
        <v>29</v>
      </c>
      <c r="D257">
        <v>3</v>
      </c>
      <c r="E257" t="s">
        <v>9</v>
      </c>
      <c r="F257" t="s">
        <v>10</v>
      </c>
      <c r="G257">
        <f>Order_Details_PBI[[#This Row],[Profit]]/Order_Details_PBI[[#This Row],[Amount]]</f>
        <v>0.39189189189189189</v>
      </c>
      <c r="H257" t="str">
        <f>IF(Order_Details_PBI[[#This Row],[Profit Margine]]&lt;0," Loss",IF(Order_Details_PBI[[#This Row],[Profit Margine]]=0," Break-Even","Profit"))</f>
        <v>Profit</v>
      </c>
      <c r="I257" s="2">
        <v>43414</v>
      </c>
      <c r="J257" t="s">
        <v>795</v>
      </c>
      <c r="K257" t="str">
        <f>UPPER(List_of_Orders_PBI[[#This Row],[CustomerName]])</f>
        <v>ABHIJEET</v>
      </c>
      <c r="L257" t="s">
        <v>539</v>
      </c>
      <c r="M257" t="s">
        <v>595</v>
      </c>
      <c r="N257" t="str">
        <f>TEXT(List_of_Orders_PBI[[#This Row],[Order Date]],"DD-MMM-YYYY")</f>
        <v>10-Nov-2018</v>
      </c>
      <c r="O257" t="str">
        <f>_xlfn.CONCAT(List_of_Orders_PBI[[#This Row],[City]] &amp;" - "&amp; List_of_Orders_PBI[[#This Row],[State]])</f>
        <v>Mumbai - Maharashtra</v>
      </c>
    </row>
    <row r="258" spans="1:15" x14ac:dyDescent="0.3">
      <c r="A258" t="s">
        <v>282</v>
      </c>
      <c r="B258">
        <v>324</v>
      </c>
      <c r="C258">
        <v>39</v>
      </c>
      <c r="D258">
        <v>8</v>
      </c>
      <c r="E258" t="s">
        <v>12</v>
      </c>
      <c r="F258" t="s">
        <v>33</v>
      </c>
      <c r="G258">
        <f>Order_Details_PBI[[#This Row],[Profit]]/Order_Details_PBI[[#This Row],[Amount]]</f>
        <v>0.12037037037037036</v>
      </c>
      <c r="H258" t="str">
        <f>IF(Order_Details_PBI[[#This Row],[Profit Margine]]&lt;0," Loss",IF(Order_Details_PBI[[#This Row],[Profit Margine]]=0," Break-Even","Profit"))</f>
        <v>Profit</v>
      </c>
      <c r="I258" s="2">
        <v>43414</v>
      </c>
      <c r="J258" t="s">
        <v>796</v>
      </c>
      <c r="K258" t="str">
        <f>UPPER(List_of_Orders_PBI[[#This Row],[CustomerName]])</f>
        <v>ANAND</v>
      </c>
      <c r="L258" t="s">
        <v>542</v>
      </c>
      <c r="M258" t="s">
        <v>597</v>
      </c>
      <c r="N258" t="str">
        <f>TEXT(List_of_Orders_PBI[[#This Row],[Order Date]],"DD-MMM-YYYY")</f>
        <v>10-Nov-2018</v>
      </c>
      <c r="O258" t="str">
        <f>_xlfn.CONCAT(List_of_Orders_PBI[[#This Row],[City]] &amp;" - "&amp; List_of_Orders_PBI[[#This Row],[State]])</f>
        <v>Indore - Madhya Pradesh</v>
      </c>
    </row>
    <row r="259" spans="1:15" x14ac:dyDescent="0.3">
      <c r="A259" t="s">
        <v>283</v>
      </c>
      <c r="B259">
        <v>22</v>
      </c>
      <c r="C259">
        <v>8</v>
      </c>
      <c r="D259">
        <v>3</v>
      </c>
      <c r="E259" t="s">
        <v>9</v>
      </c>
      <c r="F259" t="s">
        <v>11</v>
      </c>
      <c r="G259">
        <f>Order_Details_PBI[[#This Row],[Profit]]/Order_Details_PBI[[#This Row],[Amount]]</f>
        <v>0.36363636363636365</v>
      </c>
      <c r="H259" t="str">
        <f>IF(Order_Details_PBI[[#This Row],[Profit Margine]]&lt;0," Loss",IF(Order_Details_PBI[[#This Row],[Profit Margine]]=0," Break-Even","Profit"))</f>
        <v>Profit</v>
      </c>
      <c r="I259" s="2">
        <v>43417</v>
      </c>
      <c r="J259" t="s">
        <v>764</v>
      </c>
      <c r="K259" t="str">
        <f>UPPER(List_of_Orders_PBI[[#This Row],[CustomerName]])</f>
        <v>SWAPNIL</v>
      </c>
      <c r="L259" t="s">
        <v>539</v>
      </c>
      <c r="M259" t="s">
        <v>595</v>
      </c>
      <c r="N259" t="str">
        <f>TEXT(List_of_Orders_PBI[[#This Row],[Order Date]],"DD-MMM-YYYY")</f>
        <v>13-Nov-2018</v>
      </c>
      <c r="O259" t="str">
        <f>_xlfn.CONCAT(List_of_Orders_PBI[[#This Row],[City]] &amp;" - "&amp; List_of_Orders_PBI[[#This Row],[State]])</f>
        <v>Mumbai - Maharashtra</v>
      </c>
    </row>
    <row r="260" spans="1:15" x14ac:dyDescent="0.3">
      <c r="A260" t="s">
        <v>284</v>
      </c>
      <c r="B260">
        <v>724</v>
      </c>
      <c r="C260">
        <v>253</v>
      </c>
      <c r="D260">
        <v>2</v>
      </c>
      <c r="E260" t="s">
        <v>7</v>
      </c>
      <c r="F260" t="s">
        <v>8</v>
      </c>
      <c r="G260">
        <f>Order_Details_PBI[[#This Row],[Profit]]/Order_Details_PBI[[#This Row],[Amount]]</f>
        <v>0.34944751381215472</v>
      </c>
      <c r="H260" t="str">
        <f>IF(Order_Details_PBI[[#This Row],[Profit Margine]]&lt;0," Loss",IF(Order_Details_PBI[[#This Row],[Profit Margine]]=0," Break-Even","Profit"))</f>
        <v>Profit</v>
      </c>
      <c r="I260" s="2">
        <v>43418</v>
      </c>
      <c r="J260" t="s">
        <v>797</v>
      </c>
      <c r="K260" t="str">
        <f>UPPER(List_of_Orders_PBI[[#This Row],[CustomerName]])</f>
        <v>CHIKKU</v>
      </c>
      <c r="L260" t="s">
        <v>542</v>
      </c>
      <c r="M260" t="s">
        <v>597</v>
      </c>
      <c r="N260" t="str">
        <f>TEXT(List_of_Orders_PBI[[#This Row],[Order Date]],"DD-MMM-YYYY")</f>
        <v>14-Nov-2018</v>
      </c>
      <c r="O260" t="str">
        <f>_xlfn.CONCAT(List_of_Orders_PBI[[#This Row],[City]] &amp;" - "&amp; List_of_Orders_PBI[[#This Row],[State]])</f>
        <v>Indore - Madhya Pradesh</v>
      </c>
    </row>
    <row r="261" spans="1:15" x14ac:dyDescent="0.3">
      <c r="A261" t="s">
        <v>285</v>
      </c>
      <c r="B261">
        <v>112</v>
      </c>
      <c r="C261">
        <v>24</v>
      </c>
      <c r="D261">
        <v>3</v>
      </c>
      <c r="E261" t="s">
        <v>9</v>
      </c>
      <c r="F261" t="s">
        <v>20</v>
      </c>
      <c r="G261">
        <f>Order_Details_PBI[[#This Row],[Profit]]/Order_Details_PBI[[#This Row],[Amount]]</f>
        <v>0.21428571428571427</v>
      </c>
      <c r="H261" t="str">
        <f>IF(Order_Details_PBI[[#This Row],[Profit Margine]]&lt;0," Loss",IF(Order_Details_PBI[[#This Row],[Profit Margine]]=0," Break-Even","Profit"))</f>
        <v>Profit</v>
      </c>
      <c r="I261" s="2">
        <v>43419</v>
      </c>
      <c r="J261" t="s">
        <v>716</v>
      </c>
      <c r="K261" t="str">
        <f>UPPER(List_of_Orders_PBI[[#This Row],[CustomerName]])</f>
        <v>AKSHAY</v>
      </c>
      <c r="L261" t="s">
        <v>557</v>
      </c>
      <c r="M261" t="s">
        <v>558</v>
      </c>
      <c r="N261" t="str">
        <f>TEXT(List_of_Orders_PBI[[#This Row],[Order Date]],"DD-MMM-YYYY")</f>
        <v>15-Nov-2018</v>
      </c>
      <c r="O261" t="str">
        <f>_xlfn.CONCAT(List_of_Orders_PBI[[#This Row],[City]] &amp;" - "&amp; List_of_Orders_PBI[[#This Row],[State]])</f>
        <v>Chennai - Tamil Nadu</v>
      </c>
    </row>
    <row r="262" spans="1:15" x14ac:dyDescent="0.3">
      <c r="A262" t="s">
        <v>286</v>
      </c>
      <c r="B262">
        <v>128</v>
      </c>
      <c r="C262">
        <v>4</v>
      </c>
      <c r="D262">
        <v>3</v>
      </c>
      <c r="E262" t="s">
        <v>9</v>
      </c>
      <c r="F262" t="s">
        <v>16</v>
      </c>
      <c r="G262">
        <f>Order_Details_PBI[[#This Row],[Profit]]/Order_Details_PBI[[#This Row],[Amount]]</f>
        <v>3.125E-2</v>
      </c>
      <c r="H262" t="str">
        <f>IF(Order_Details_PBI[[#This Row],[Profit Margine]]&lt;0," Loss",IF(Order_Details_PBI[[#This Row],[Profit Margine]]=0," Break-Even","Profit"))</f>
        <v>Profit</v>
      </c>
      <c r="I262" s="2">
        <v>43419</v>
      </c>
      <c r="J262" t="s">
        <v>798</v>
      </c>
      <c r="K262" t="str">
        <f>UPPER(List_of_Orders_PBI[[#This Row],[CustomerName]])</f>
        <v>AAYUSH</v>
      </c>
      <c r="L262" t="s">
        <v>560</v>
      </c>
      <c r="M262" t="s">
        <v>561</v>
      </c>
      <c r="N262" t="str">
        <f>TEXT(List_of_Orders_PBI[[#This Row],[Order Date]],"DD-MMM-YYYY")</f>
        <v>15-Nov-2018</v>
      </c>
      <c r="O262" t="str">
        <f>_xlfn.CONCAT(List_of_Orders_PBI[[#This Row],[City]] &amp;" - "&amp; List_of_Orders_PBI[[#This Row],[State]])</f>
        <v>Lucknow - Uttar Pradesh</v>
      </c>
    </row>
    <row r="263" spans="1:15" x14ac:dyDescent="0.3">
      <c r="A263" t="s">
        <v>287</v>
      </c>
      <c r="B263">
        <v>2061</v>
      </c>
      <c r="C263">
        <v>701</v>
      </c>
      <c r="D263">
        <v>5</v>
      </c>
      <c r="E263" t="s">
        <v>7</v>
      </c>
      <c r="F263" t="s">
        <v>8</v>
      </c>
      <c r="G263">
        <f>Order_Details_PBI[[#This Row],[Profit]]/Order_Details_PBI[[#This Row],[Amount]]</f>
        <v>0.34012615235322657</v>
      </c>
      <c r="H263" t="str">
        <f>IF(Order_Details_PBI[[#This Row],[Profit Margine]]&lt;0," Loss",IF(Order_Details_PBI[[#This Row],[Profit Margine]]=0," Break-Even","Profit"))</f>
        <v>Profit</v>
      </c>
      <c r="I263" s="2">
        <v>43419</v>
      </c>
      <c r="J263" t="s">
        <v>799</v>
      </c>
      <c r="K263" t="str">
        <f>UPPER(List_of_Orders_PBI[[#This Row],[CustomerName]])</f>
        <v>AMOL</v>
      </c>
      <c r="L263" t="s">
        <v>563</v>
      </c>
      <c r="M263" t="s">
        <v>564</v>
      </c>
      <c r="N263" t="str">
        <f>TEXT(List_of_Orders_PBI[[#This Row],[Order Date]],"DD-MMM-YYYY")</f>
        <v>15-Nov-2018</v>
      </c>
      <c r="O263" t="str">
        <f>_xlfn.CONCAT(List_of_Orders_PBI[[#This Row],[City]] &amp;" - "&amp; List_of_Orders_PBI[[#This Row],[State]])</f>
        <v>Patna - Bihar</v>
      </c>
    </row>
    <row r="264" spans="1:15" x14ac:dyDescent="0.3">
      <c r="A264" t="s">
        <v>288</v>
      </c>
      <c r="B264">
        <v>189</v>
      </c>
      <c r="C264">
        <v>87</v>
      </c>
      <c r="D264">
        <v>7</v>
      </c>
      <c r="E264" t="s">
        <v>9</v>
      </c>
      <c r="F264" t="s">
        <v>10</v>
      </c>
      <c r="G264">
        <f>Order_Details_PBI[[#This Row],[Profit]]/Order_Details_PBI[[#This Row],[Amount]]</f>
        <v>0.46031746031746029</v>
      </c>
      <c r="H264" t="str">
        <f>IF(Order_Details_PBI[[#This Row],[Profit Margine]]&lt;0," Loss",IF(Order_Details_PBI[[#This Row],[Profit Margine]]=0," Break-Even","Profit"))</f>
        <v>Profit</v>
      </c>
      <c r="I264" s="2">
        <v>43419</v>
      </c>
      <c r="J264" t="s">
        <v>800</v>
      </c>
      <c r="K264" t="str">
        <f>UPPER(List_of_Orders_PBI[[#This Row],[CustomerName]])</f>
        <v>MANIBALAN</v>
      </c>
      <c r="L264" t="s">
        <v>566</v>
      </c>
      <c r="M264" t="s">
        <v>567</v>
      </c>
      <c r="N264" t="str">
        <f>TEXT(List_of_Orders_PBI[[#This Row],[Order Date]],"DD-MMM-YYYY")</f>
        <v>15-Nov-2018</v>
      </c>
      <c r="O264" t="str">
        <f>_xlfn.CONCAT(List_of_Orders_PBI[[#This Row],[City]] &amp;" - "&amp; List_of_Orders_PBI[[#This Row],[State]])</f>
        <v xml:space="preserve">Thiruvananthapuram - Kerala </v>
      </c>
    </row>
    <row r="265" spans="1:15" x14ac:dyDescent="0.3">
      <c r="A265" t="s">
        <v>289</v>
      </c>
      <c r="B265">
        <v>100</v>
      </c>
      <c r="C265">
        <v>6</v>
      </c>
      <c r="D265">
        <v>4</v>
      </c>
      <c r="E265" t="s">
        <v>9</v>
      </c>
      <c r="F265" t="s">
        <v>10</v>
      </c>
      <c r="G265">
        <f>Order_Details_PBI[[#This Row],[Profit]]/Order_Details_PBI[[#This Row],[Amount]]</f>
        <v>0.06</v>
      </c>
      <c r="H265" t="str">
        <f>IF(Order_Details_PBI[[#This Row],[Profit Margine]]&lt;0," Loss",IF(Order_Details_PBI[[#This Row],[Profit Margine]]=0," Break-Even","Profit"))</f>
        <v>Profit</v>
      </c>
      <c r="I265" s="2">
        <v>43419</v>
      </c>
      <c r="J265" t="s">
        <v>801</v>
      </c>
      <c r="K265" t="str">
        <f>UPPER(List_of_Orders_PBI[[#This Row],[CustomerName]])</f>
        <v>AROMAL</v>
      </c>
      <c r="L265" t="s">
        <v>539</v>
      </c>
      <c r="M265" t="s">
        <v>595</v>
      </c>
      <c r="N265" t="str">
        <f>TEXT(List_of_Orders_PBI[[#This Row],[Order Date]],"DD-MMM-YYYY")</f>
        <v>15-Nov-2018</v>
      </c>
      <c r="O265" t="str">
        <f>_xlfn.CONCAT(List_of_Orders_PBI[[#This Row],[City]] &amp;" - "&amp; List_of_Orders_PBI[[#This Row],[State]])</f>
        <v>Mumbai - Maharashtra</v>
      </c>
    </row>
    <row r="266" spans="1:15" x14ac:dyDescent="0.3">
      <c r="A266" t="s">
        <v>290</v>
      </c>
      <c r="B266">
        <v>85</v>
      </c>
      <c r="C266">
        <v>-1</v>
      </c>
      <c r="D266">
        <v>3</v>
      </c>
      <c r="E266" t="s">
        <v>9</v>
      </c>
      <c r="F266" t="s">
        <v>16</v>
      </c>
      <c r="G266">
        <f>Order_Details_PBI[[#This Row],[Profit]]/Order_Details_PBI[[#This Row],[Amount]]</f>
        <v>-1.1764705882352941E-2</v>
      </c>
      <c r="H266" t="str">
        <f>IF(Order_Details_PBI[[#This Row],[Profit Margine]]&lt;0," Loss",IF(Order_Details_PBI[[#This Row],[Profit Margine]]=0," Break-Even","Profit"))</f>
        <v xml:space="preserve"> Loss</v>
      </c>
      <c r="I266" s="2">
        <v>43419</v>
      </c>
      <c r="J266" t="s">
        <v>802</v>
      </c>
      <c r="K266" t="str">
        <f>UPPER(List_of_Orders_PBI[[#This Row],[CustomerName]])</f>
        <v>ARUN</v>
      </c>
      <c r="L266" t="s">
        <v>542</v>
      </c>
      <c r="M266" t="s">
        <v>597</v>
      </c>
      <c r="N266" t="str">
        <f>TEXT(List_of_Orders_PBI[[#This Row],[Order Date]],"DD-MMM-YYYY")</f>
        <v>15-Nov-2018</v>
      </c>
      <c r="O266" t="str">
        <f>_xlfn.CONCAT(List_of_Orders_PBI[[#This Row],[City]] &amp;" - "&amp; List_of_Orders_PBI[[#This Row],[State]])</f>
        <v>Indore - Madhya Pradesh</v>
      </c>
    </row>
    <row r="267" spans="1:15" x14ac:dyDescent="0.3">
      <c r="A267" t="s">
        <v>291</v>
      </c>
      <c r="B267">
        <v>51</v>
      </c>
      <c r="C267">
        <v>14</v>
      </c>
      <c r="D267">
        <v>2</v>
      </c>
      <c r="E267" t="s">
        <v>9</v>
      </c>
      <c r="F267" t="s">
        <v>10</v>
      </c>
      <c r="G267">
        <f>Order_Details_PBI[[#This Row],[Profit]]/Order_Details_PBI[[#This Row],[Amount]]</f>
        <v>0.27450980392156865</v>
      </c>
      <c r="H267" t="str">
        <f>IF(Order_Details_PBI[[#This Row],[Profit Margine]]&lt;0," Loss",IF(Order_Details_PBI[[#This Row],[Profit Margine]]=0," Break-Even","Profit"))</f>
        <v>Profit</v>
      </c>
      <c r="I267" s="2">
        <v>43420</v>
      </c>
      <c r="J267" t="s">
        <v>803</v>
      </c>
      <c r="K267" t="str">
        <f>UPPER(List_of_Orders_PBI[[#This Row],[CustomerName]])</f>
        <v>KOMAL</v>
      </c>
      <c r="L267" t="s">
        <v>574</v>
      </c>
      <c r="M267" t="s">
        <v>575</v>
      </c>
      <c r="N267" t="str">
        <f>TEXT(List_of_Orders_PBI[[#This Row],[Order Date]],"DD-MMM-YYYY")</f>
        <v>16-Nov-2018</v>
      </c>
      <c r="O267" t="str">
        <f>_xlfn.CONCAT(List_of_Orders_PBI[[#This Row],[City]] &amp;" - "&amp; List_of_Orders_PBI[[#This Row],[State]])</f>
        <v>Simla - Himachal Pradesh</v>
      </c>
    </row>
    <row r="268" spans="1:15" x14ac:dyDescent="0.3">
      <c r="A268" t="s">
        <v>292</v>
      </c>
      <c r="B268">
        <v>31</v>
      </c>
      <c r="C268">
        <v>14</v>
      </c>
      <c r="D268">
        <v>3</v>
      </c>
      <c r="E268" t="s">
        <v>9</v>
      </c>
      <c r="F268" t="s">
        <v>10</v>
      </c>
      <c r="G268">
        <f>Order_Details_PBI[[#This Row],[Profit]]/Order_Details_PBI[[#This Row],[Amount]]</f>
        <v>0.45161290322580644</v>
      </c>
      <c r="H268" t="str">
        <f>IF(Order_Details_PBI[[#This Row],[Profit Margine]]&lt;0," Loss",IF(Order_Details_PBI[[#This Row],[Profit Margine]]=0," Break-Even","Profit"))</f>
        <v>Profit</v>
      </c>
      <c r="I268" s="2">
        <v>43421</v>
      </c>
      <c r="J268" t="s">
        <v>755</v>
      </c>
      <c r="K268" t="str">
        <f>UPPER(List_of_Orders_PBI[[#This Row],[CustomerName]])</f>
        <v>ANKIT</v>
      </c>
      <c r="L268" t="s">
        <v>577</v>
      </c>
      <c r="M268" t="s">
        <v>578</v>
      </c>
      <c r="N268" t="str">
        <f>TEXT(List_of_Orders_PBI[[#This Row],[Order Date]],"DD-MMM-YYYY")</f>
        <v>17-Nov-2018</v>
      </c>
      <c r="O268" t="str">
        <f>_xlfn.CONCAT(List_of_Orders_PBI[[#This Row],[City]] &amp;" - "&amp; List_of_Orders_PBI[[#This Row],[State]])</f>
        <v>Gangtok - Sikkim</v>
      </c>
    </row>
    <row r="269" spans="1:15" x14ac:dyDescent="0.3">
      <c r="A269" t="s">
        <v>293</v>
      </c>
      <c r="B269">
        <v>170</v>
      </c>
      <c r="C269">
        <v>73</v>
      </c>
      <c r="D269">
        <v>2</v>
      </c>
      <c r="E269" t="s">
        <v>12</v>
      </c>
      <c r="F269" t="s">
        <v>33</v>
      </c>
      <c r="G269">
        <f>Order_Details_PBI[[#This Row],[Profit]]/Order_Details_PBI[[#This Row],[Amount]]</f>
        <v>0.42941176470588233</v>
      </c>
      <c r="H269" t="str">
        <f>IF(Order_Details_PBI[[#This Row],[Profit Margine]]&lt;0," Loss",IF(Order_Details_PBI[[#This Row],[Profit Margine]]=0," Break-Even","Profit"))</f>
        <v>Profit</v>
      </c>
      <c r="I269" s="2">
        <v>43422</v>
      </c>
      <c r="J269" t="s">
        <v>804</v>
      </c>
      <c r="K269" t="str">
        <f>UPPER(List_of_Orders_PBI[[#This Row],[CustomerName]])</f>
        <v>VIKASH</v>
      </c>
      <c r="L269" t="s">
        <v>580</v>
      </c>
      <c r="M269" t="s">
        <v>580</v>
      </c>
      <c r="N269" t="str">
        <f>TEXT(List_of_Orders_PBI[[#This Row],[Order Date]],"DD-MMM-YYYY")</f>
        <v>18-Nov-2018</v>
      </c>
      <c r="O269" t="str">
        <f>_xlfn.CONCAT(List_of_Orders_PBI[[#This Row],[City]] &amp;" - "&amp; List_of_Orders_PBI[[#This Row],[State]])</f>
        <v>Goa - Goa</v>
      </c>
    </row>
    <row r="270" spans="1:15" x14ac:dyDescent="0.3">
      <c r="A270" t="s">
        <v>294</v>
      </c>
      <c r="B270">
        <v>86</v>
      </c>
      <c r="C270">
        <v>9</v>
      </c>
      <c r="D270">
        <v>3</v>
      </c>
      <c r="E270" t="s">
        <v>9</v>
      </c>
      <c r="F270" t="s">
        <v>16</v>
      </c>
      <c r="G270">
        <f>Order_Details_PBI[[#This Row],[Profit]]/Order_Details_PBI[[#This Row],[Amount]]</f>
        <v>0.10465116279069768</v>
      </c>
      <c r="H270" t="str">
        <f>IF(Order_Details_PBI[[#This Row],[Profit Margine]]&lt;0," Loss",IF(Order_Details_PBI[[#This Row],[Profit Margine]]=0," Break-Even","Profit"))</f>
        <v>Profit</v>
      </c>
      <c r="I270" s="2">
        <v>43423</v>
      </c>
      <c r="J270" t="s">
        <v>805</v>
      </c>
      <c r="K270" t="str">
        <f>UPPER(List_of_Orders_PBI[[#This Row],[CustomerName]])</f>
        <v>PARAKH</v>
      </c>
      <c r="L270" t="s">
        <v>582</v>
      </c>
      <c r="M270" t="s">
        <v>583</v>
      </c>
      <c r="N270" t="str">
        <f>TEXT(List_of_Orders_PBI[[#This Row],[Order Date]],"DD-MMM-YYYY")</f>
        <v>19-Nov-2018</v>
      </c>
      <c r="O270" t="str">
        <f>_xlfn.CONCAT(List_of_Orders_PBI[[#This Row],[City]] &amp;" - "&amp; List_of_Orders_PBI[[#This Row],[State]])</f>
        <v>Kohima - Nagaland</v>
      </c>
    </row>
    <row r="271" spans="1:15" x14ac:dyDescent="0.3">
      <c r="A271" t="s">
        <v>295</v>
      </c>
      <c r="B271">
        <v>10</v>
      </c>
      <c r="C271">
        <v>4</v>
      </c>
      <c r="D271">
        <v>1</v>
      </c>
      <c r="E271" t="s">
        <v>9</v>
      </c>
      <c r="F271" t="s">
        <v>20</v>
      </c>
      <c r="G271">
        <f>Order_Details_PBI[[#This Row],[Profit]]/Order_Details_PBI[[#This Row],[Amount]]</f>
        <v>0.4</v>
      </c>
      <c r="H271" t="str">
        <f>IF(Order_Details_PBI[[#This Row],[Profit Margine]]&lt;0," Loss",IF(Order_Details_PBI[[#This Row],[Profit Margine]]=0," Break-Even","Profit"))</f>
        <v>Profit</v>
      </c>
      <c r="I271" s="2">
        <v>43424</v>
      </c>
      <c r="J271" t="s">
        <v>698</v>
      </c>
      <c r="K271" t="str">
        <f>UPPER(List_of_Orders_PBI[[#This Row],[CustomerName]])</f>
        <v>PRANAV</v>
      </c>
      <c r="L271" t="s">
        <v>585</v>
      </c>
      <c r="M271" t="s">
        <v>586</v>
      </c>
      <c r="N271" t="str">
        <f>TEXT(List_of_Orders_PBI[[#This Row],[Order Date]],"DD-MMM-YYYY")</f>
        <v>20-Nov-2018</v>
      </c>
      <c r="O271" t="str">
        <f>_xlfn.CONCAT(List_of_Orders_PBI[[#This Row],[City]] &amp;" - "&amp; List_of_Orders_PBI[[#This Row],[State]])</f>
        <v>Hyderabad - Andhra Pradesh</v>
      </c>
    </row>
    <row r="272" spans="1:15" x14ac:dyDescent="0.3">
      <c r="A272" t="s">
        <v>296</v>
      </c>
      <c r="B272">
        <v>118</v>
      </c>
      <c r="C272">
        <v>25</v>
      </c>
      <c r="D272">
        <v>4</v>
      </c>
      <c r="E272" t="s">
        <v>9</v>
      </c>
      <c r="F272" t="s">
        <v>11</v>
      </c>
      <c r="G272">
        <f>Order_Details_PBI[[#This Row],[Profit]]/Order_Details_PBI[[#This Row],[Amount]]</f>
        <v>0.21186440677966101</v>
      </c>
      <c r="H272" t="str">
        <f>IF(Order_Details_PBI[[#This Row],[Profit Margine]]&lt;0," Loss",IF(Order_Details_PBI[[#This Row],[Profit Margine]]=0," Break-Even","Profit"))</f>
        <v>Profit</v>
      </c>
      <c r="I272" s="2">
        <v>43425</v>
      </c>
      <c r="J272" t="s">
        <v>806</v>
      </c>
      <c r="K272" t="str">
        <f>UPPER(List_of_Orders_PBI[[#This Row],[CustomerName]])</f>
        <v>GUNJAL</v>
      </c>
      <c r="L272" t="s">
        <v>536</v>
      </c>
      <c r="M272" t="s">
        <v>807</v>
      </c>
      <c r="N272" t="str">
        <f>TEXT(List_of_Orders_PBI[[#This Row],[Order Date]],"DD-MMM-YYYY")</f>
        <v>21-Nov-2018</v>
      </c>
      <c r="O272" t="str">
        <f>_xlfn.CONCAT(List_of_Orders_PBI[[#This Row],[City]] &amp;" - "&amp; List_of_Orders_PBI[[#This Row],[State]])</f>
        <v>Surat - Gujarat</v>
      </c>
    </row>
    <row r="273" spans="1:15" x14ac:dyDescent="0.3">
      <c r="A273" t="s">
        <v>297</v>
      </c>
      <c r="B273">
        <v>57</v>
      </c>
      <c r="C273">
        <v>27</v>
      </c>
      <c r="D273">
        <v>2</v>
      </c>
      <c r="E273" t="s">
        <v>9</v>
      </c>
      <c r="F273" t="s">
        <v>25</v>
      </c>
      <c r="G273">
        <f>Order_Details_PBI[[#This Row],[Profit]]/Order_Details_PBI[[#This Row],[Amount]]</f>
        <v>0.47368421052631576</v>
      </c>
      <c r="H273" t="str">
        <f>IF(Order_Details_PBI[[#This Row],[Profit Margine]]&lt;0," Loss",IF(Order_Details_PBI[[#This Row],[Profit Margine]]=0," Break-Even","Profit"))</f>
        <v>Profit</v>
      </c>
      <c r="I273" s="2">
        <v>43426</v>
      </c>
      <c r="J273" t="s">
        <v>808</v>
      </c>
      <c r="K273" t="str">
        <f>UPPER(List_of_Orders_PBI[[#This Row],[CustomerName]])</f>
        <v>SAURABH</v>
      </c>
      <c r="L273" t="s">
        <v>539</v>
      </c>
      <c r="M273" t="s">
        <v>595</v>
      </c>
      <c r="N273" t="str">
        <f>TEXT(List_of_Orders_PBI[[#This Row],[Order Date]],"DD-MMM-YYYY")</f>
        <v>22-Nov-2018</v>
      </c>
      <c r="O273" t="str">
        <f>_xlfn.CONCAT(List_of_Orders_PBI[[#This Row],[City]] &amp;" - "&amp; List_of_Orders_PBI[[#This Row],[State]])</f>
        <v>Mumbai - Maharashtra</v>
      </c>
    </row>
    <row r="274" spans="1:15" x14ac:dyDescent="0.3">
      <c r="A274" t="s">
        <v>298</v>
      </c>
      <c r="B274">
        <v>66</v>
      </c>
      <c r="C274">
        <v>12</v>
      </c>
      <c r="D274">
        <v>3</v>
      </c>
      <c r="E274" t="s">
        <v>9</v>
      </c>
      <c r="F274" t="s">
        <v>10</v>
      </c>
      <c r="G274">
        <f>Order_Details_PBI[[#This Row],[Profit]]/Order_Details_PBI[[#This Row],[Amount]]</f>
        <v>0.18181818181818182</v>
      </c>
      <c r="H274" t="str">
        <f>IF(Order_Details_PBI[[#This Row],[Profit Margine]]&lt;0," Loss",IF(Order_Details_PBI[[#This Row],[Profit Margine]]=0," Break-Even","Profit"))</f>
        <v>Profit</v>
      </c>
      <c r="I274" s="2">
        <v>43427</v>
      </c>
      <c r="J274" t="s">
        <v>809</v>
      </c>
      <c r="K274" t="str">
        <f>UPPER(List_of_Orders_PBI[[#This Row],[CustomerName]])</f>
        <v>DIVYETA</v>
      </c>
      <c r="L274" t="s">
        <v>542</v>
      </c>
      <c r="M274" t="s">
        <v>597</v>
      </c>
      <c r="N274" t="str">
        <f>TEXT(List_of_Orders_PBI[[#This Row],[Order Date]],"DD-MMM-YYYY")</f>
        <v>23-Nov-2018</v>
      </c>
      <c r="O274" t="str">
        <f>_xlfn.CONCAT(List_of_Orders_PBI[[#This Row],[City]] &amp;" - "&amp; List_of_Orders_PBI[[#This Row],[State]])</f>
        <v>Indore - Madhya Pradesh</v>
      </c>
    </row>
    <row r="275" spans="1:15" x14ac:dyDescent="0.3">
      <c r="A275" t="s">
        <v>299</v>
      </c>
      <c r="B275">
        <v>124</v>
      </c>
      <c r="C275">
        <v>54</v>
      </c>
      <c r="D275">
        <v>5</v>
      </c>
      <c r="E275" t="s">
        <v>9</v>
      </c>
      <c r="F275" t="s">
        <v>22</v>
      </c>
      <c r="G275">
        <f>Order_Details_PBI[[#This Row],[Profit]]/Order_Details_PBI[[#This Row],[Amount]]</f>
        <v>0.43548387096774194</v>
      </c>
      <c r="H275" t="str">
        <f>IF(Order_Details_PBI[[#This Row],[Profit Margine]]&lt;0," Loss",IF(Order_Details_PBI[[#This Row],[Profit Margine]]=0," Break-Even","Profit"))</f>
        <v>Profit</v>
      </c>
      <c r="I275" s="2">
        <v>43428</v>
      </c>
      <c r="J275" t="s">
        <v>677</v>
      </c>
      <c r="K275" t="str">
        <f>UPPER(List_of_Orders_PBI[[#This Row],[CustomerName]])</f>
        <v>MEGHA</v>
      </c>
      <c r="L275" t="s">
        <v>545</v>
      </c>
      <c r="M275" t="s">
        <v>810</v>
      </c>
      <c r="N275" t="str">
        <f>TEXT(List_of_Orders_PBI[[#This Row],[Order Date]],"DD-MMM-YYYY")</f>
        <v>24-Nov-2018</v>
      </c>
      <c r="O275" t="str">
        <f>_xlfn.CONCAT(List_of_Orders_PBI[[#This Row],[City]] &amp;" - "&amp; List_of_Orders_PBI[[#This Row],[State]])</f>
        <v>Udaipur - Rajasthan</v>
      </c>
    </row>
    <row r="276" spans="1:15" x14ac:dyDescent="0.3">
      <c r="A276" t="s">
        <v>300</v>
      </c>
      <c r="B276">
        <v>248</v>
      </c>
      <c r="C276">
        <v>8</v>
      </c>
      <c r="D276">
        <v>2</v>
      </c>
      <c r="E276" t="s">
        <v>9</v>
      </c>
      <c r="F276" t="s">
        <v>16</v>
      </c>
      <c r="G276">
        <f>Order_Details_PBI[[#This Row],[Profit]]/Order_Details_PBI[[#This Row],[Amount]]</f>
        <v>3.2258064516129031E-2</v>
      </c>
      <c r="H276" t="str">
        <f>IF(Order_Details_PBI[[#This Row],[Profit Margine]]&lt;0," Loss",IF(Order_Details_PBI[[#This Row],[Profit Margine]]=0," Break-Even","Profit"))</f>
        <v>Profit</v>
      </c>
      <c r="I276" s="2">
        <v>43428</v>
      </c>
      <c r="J276" t="s">
        <v>811</v>
      </c>
      <c r="K276" t="str">
        <f>UPPER(List_of_Orders_PBI[[#This Row],[CustomerName]])</f>
        <v>DIVYESHKUMAR</v>
      </c>
      <c r="L276" t="s">
        <v>560</v>
      </c>
      <c r="M276" t="s">
        <v>812</v>
      </c>
      <c r="N276" t="str">
        <f>TEXT(List_of_Orders_PBI[[#This Row],[Order Date]],"DD-MMM-YYYY")</f>
        <v>24-Nov-2018</v>
      </c>
      <c r="O276" t="str">
        <f>_xlfn.CONCAT(List_of_Orders_PBI[[#This Row],[City]] &amp;" - "&amp; List_of_Orders_PBI[[#This Row],[State]])</f>
        <v>Allahabad - Uttar Pradesh</v>
      </c>
    </row>
    <row r="277" spans="1:15" x14ac:dyDescent="0.3">
      <c r="A277" t="s">
        <v>301</v>
      </c>
      <c r="B277">
        <v>282</v>
      </c>
      <c r="C277">
        <v>14</v>
      </c>
      <c r="D277">
        <v>4</v>
      </c>
      <c r="E277" t="s">
        <v>9</v>
      </c>
      <c r="F277" t="s">
        <v>18</v>
      </c>
      <c r="G277">
        <f>Order_Details_PBI[[#This Row],[Profit]]/Order_Details_PBI[[#This Row],[Amount]]</f>
        <v>4.9645390070921988E-2</v>
      </c>
      <c r="H277" t="str">
        <f>IF(Order_Details_PBI[[#This Row],[Profit Margine]]&lt;0," Loss",IF(Order_Details_PBI[[#This Row],[Profit Margine]]=0," Break-Even","Profit"))</f>
        <v>Profit</v>
      </c>
      <c r="I277" s="2">
        <v>43428</v>
      </c>
      <c r="J277" t="s">
        <v>813</v>
      </c>
      <c r="K277" t="str">
        <f>UPPER(List_of_Orders_PBI[[#This Row],[CustomerName]])</f>
        <v>BHOSALE</v>
      </c>
      <c r="L277" t="s">
        <v>569</v>
      </c>
      <c r="M277" t="s">
        <v>814</v>
      </c>
      <c r="N277" t="str">
        <f>TEXT(List_of_Orders_PBI[[#This Row],[Order Date]],"DD-MMM-YYYY")</f>
        <v>24-Nov-2018</v>
      </c>
      <c r="O277" t="str">
        <f>_xlfn.CONCAT(List_of_Orders_PBI[[#This Row],[City]] &amp;" - "&amp; List_of_Orders_PBI[[#This Row],[State]])</f>
        <v>Amritsar - Punjab</v>
      </c>
    </row>
    <row r="278" spans="1:15" x14ac:dyDescent="0.3">
      <c r="A278" t="s">
        <v>302</v>
      </c>
      <c r="B278">
        <v>1137</v>
      </c>
      <c r="C278">
        <v>568</v>
      </c>
      <c r="D278">
        <v>2</v>
      </c>
      <c r="E278" t="s">
        <v>9</v>
      </c>
      <c r="F278" t="s">
        <v>18</v>
      </c>
      <c r="G278">
        <f>Order_Details_PBI[[#This Row],[Profit]]/Order_Details_PBI[[#This Row],[Amount]]</f>
        <v>0.49956024626209322</v>
      </c>
      <c r="H278" t="str">
        <f>IF(Order_Details_PBI[[#This Row],[Profit Margine]]&lt;0," Loss",IF(Order_Details_PBI[[#This Row],[Profit Margine]]=0," Break-Even","Profit"))</f>
        <v>Profit</v>
      </c>
      <c r="I278" s="2">
        <v>43428</v>
      </c>
      <c r="J278" t="s">
        <v>815</v>
      </c>
      <c r="K278" t="str">
        <f>UPPER(List_of_Orders_PBI[[#This Row],[CustomerName]])</f>
        <v>DASHYAM</v>
      </c>
      <c r="L278" t="s">
        <v>536</v>
      </c>
      <c r="M278" t="s">
        <v>807</v>
      </c>
      <c r="N278" t="str">
        <f>TEXT(List_of_Orders_PBI[[#This Row],[Order Date]],"DD-MMM-YYYY")</f>
        <v>24-Nov-2018</v>
      </c>
      <c r="O278" t="str">
        <f>_xlfn.CONCAT(List_of_Orders_PBI[[#This Row],[City]] &amp;" - "&amp; List_of_Orders_PBI[[#This Row],[State]])</f>
        <v>Surat - Gujarat</v>
      </c>
    </row>
    <row r="279" spans="1:15" x14ac:dyDescent="0.3">
      <c r="A279" t="s">
        <v>303</v>
      </c>
      <c r="B279">
        <v>165</v>
      </c>
      <c r="C279">
        <v>46</v>
      </c>
      <c r="D279">
        <v>3</v>
      </c>
      <c r="E279" t="s">
        <v>7</v>
      </c>
      <c r="F279" t="s">
        <v>34</v>
      </c>
      <c r="G279">
        <f>Order_Details_PBI[[#This Row],[Profit]]/Order_Details_PBI[[#This Row],[Amount]]</f>
        <v>0.27878787878787881</v>
      </c>
      <c r="H279" t="str">
        <f>IF(Order_Details_PBI[[#This Row],[Profit Margine]]&lt;0," Loss",IF(Order_Details_PBI[[#This Row],[Profit Margine]]=0," Break-Even","Profit"))</f>
        <v>Profit</v>
      </c>
      <c r="I279" s="2">
        <v>43428</v>
      </c>
      <c r="J279" t="s">
        <v>816</v>
      </c>
      <c r="K279" t="str">
        <f>UPPER(List_of_Orders_PBI[[#This Row],[CustomerName]])</f>
        <v>MRINAL</v>
      </c>
      <c r="L279" t="s">
        <v>539</v>
      </c>
      <c r="M279" t="s">
        <v>595</v>
      </c>
      <c r="N279" t="str">
        <f>TEXT(List_of_Orders_PBI[[#This Row],[Order Date]],"DD-MMM-YYYY")</f>
        <v>24-Nov-2018</v>
      </c>
      <c r="O279" t="str">
        <f>_xlfn.CONCAT(List_of_Orders_PBI[[#This Row],[City]] &amp;" - "&amp; List_of_Orders_PBI[[#This Row],[State]])</f>
        <v>Mumbai - Maharashtra</v>
      </c>
    </row>
    <row r="280" spans="1:15" x14ac:dyDescent="0.3">
      <c r="A280" t="s">
        <v>304</v>
      </c>
      <c r="B280">
        <v>57</v>
      </c>
      <c r="C280">
        <v>28</v>
      </c>
      <c r="D280">
        <v>2</v>
      </c>
      <c r="E280" t="s">
        <v>9</v>
      </c>
      <c r="F280" t="s">
        <v>20</v>
      </c>
      <c r="G280">
        <f>Order_Details_PBI[[#This Row],[Profit]]/Order_Details_PBI[[#This Row],[Amount]]</f>
        <v>0.49122807017543857</v>
      </c>
      <c r="H280" t="str">
        <f>IF(Order_Details_PBI[[#This Row],[Profit Margine]]&lt;0," Loss",IF(Order_Details_PBI[[#This Row],[Profit Margine]]=0," Break-Even","Profit"))</f>
        <v>Profit</v>
      </c>
      <c r="I280" s="2">
        <v>43428</v>
      </c>
      <c r="J280" t="s">
        <v>744</v>
      </c>
      <c r="K280" t="str">
        <f>UPPER(List_of_Orders_PBI[[#This Row],[CustomerName]])</f>
        <v>SIDDHARTH</v>
      </c>
      <c r="L280" t="s">
        <v>542</v>
      </c>
      <c r="M280" t="s">
        <v>597</v>
      </c>
      <c r="N280" t="str">
        <f>TEXT(List_of_Orders_PBI[[#This Row],[Order Date]],"DD-MMM-YYYY")</f>
        <v>24-Nov-2018</v>
      </c>
      <c r="O280" t="str">
        <f>_xlfn.CONCAT(List_of_Orders_PBI[[#This Row],[City]] &amp;" - "&amp; List_of_Orders_PBI[[#This Row],[State]])</f>
        <v>Indore - Madhya Pradesh</v>
      </c>
    </row>
    <row r="281" spans="1:15" x14ac:dyDescent="0.3">
      <c r="A281" t="s">
        <v>305</v>
      </c>
      <c r="B281">
        <v>108</v>
      </c>
      <c r="C281">
        <v>37</v>
      </c>
      <c r="D281">
        <v>2</v>
      </c>
      <c r="E281" t="s">
        <v>9</v>
      </c>
      <c r="F281" t="s">
        <v>10</v>
      </c>
      <c r="G281">
        <f>Order_Details_PBI[[#This Row],[Profit]]/Order_Details_PBI[[#This Row],[Amount]]</f>
        <v>0.34259259259259262</v>
      </c>
      <c r="H281" t="str">
        <f>IF(Order_Details_PBI[[#This Row],[Profit Margine]]&lt;0," Loss",IF(Order_Details_PBI[[#This Row],[Profit Margine]]=0," Break-Even","Profit"))</f>
        <v>Profit</v>
      </c>
      <c r="I281" s="2">
        <v>43428</v>
      </c>
      <c r="J281" t="s">
        <v>817</v>
      </c>
      <c r="K281" t="str">
        <f>UPPER(List_of_Orders_PBI[[#This Row],[CustomerName]])</f>
        <v>APOORV</v>
      </c>
      <c r="L281" t="s">
        <v>545</v>
      </c>
      <c r="M281" t="s">
        <v>810</v>
      </c>
      <c r="N281" t="str">
        <f>TEXT(List_of_Orders_PBI[[#This Row],[Order Date]],"DD-MMM-YYYY")</f>
        <v>24-Nov-2018</v>
      </c>
      <c r="O281" t="str">
        <f>_xlfn.CONCAT(List_of_Orders_PBI[[#This Row],[City]] &amp;" - "&amp; List_of_Orders_PBI[[#This Row],[State]])</f>
        <v>Udaipur - Rajasthan</v>
      </c>
    </row>
    <row r="282" spans="1:15" x14ac:dyDescent="0.3">
      <c r="A282" t="s">
        <v>306</v>
      </c>
      <c r="B282">
        <v>37</v>
      </c>
      <c r="C282">
        <v>3</v>
      </c>
      <c r="D282">
        <v>3</v>
      </c>
      <c r="E282" t="s">
        <v>9</v>
      </c>
      <c r="F282" t="s">
        <v>11</v>
      </c>
      <c r="G282">
        <f>Order_Details_PBI[[#This Row],[Profit]]/Order_Details_PBI[[#This Row],[Amount]]</f>
        <v>8.1081081081081086E-2</v>
      </c>
      <c r="H282" t="str">
        <f>IF(Order_Details_PBI[[#This Row],[Profit Margine]]&lt;0," Loss",IF(Order_Details_PBI[[#This Row],[Profit Margine]]=0," Break-Even","Profit"))</f>
        <v>Profit</v>
      </c>
      <c r="I282" s="2">
        <v>43429</v>
      </c>
      <c r="J282" t="s">
        <v>598</v>
      </c>
      <c r="K282" t="str">
        <f>UPPER(List_of_Orders_PBI[[#This Row],[CustomerName]])</f>
        <v>POOJA</v>
      </c>
      <c r="L282" t="s">
        <v>560</v>
      </c>
      <c r="M282" t="s">
        <v>812</v>
      </c>
      <c r="N282" t="str">
        <f>TEXT(List_of_Orders_PBI[[#This Row],[Order Date]],"DD-MMM-YYYY")</f>
        <v>25-Nov-2018</v>
      </c>
      <c r="O282" t="str">
        <f>_xlfn.CONCAT(List_of_Orders_PBI[[#This Row],[City]] &amp;" - "&amp; List_of_Orders_PBI[[#This Row],[State]])</f>
        <v>Allahabad - Uttar Pradesh</v>
      </c>
    </row>
    <row r="283" spans="1:15" x14ac:dyDescent="0.3">
      <c r="A283" t="s">
        <v>307</v>
      </c>
      <c r="B283">
        <v>121</v>
      </c>
      <c r="C283">
        <v>19</v>
      </c>
      <c r="D283">
        <v>4</v>
      </c>
      <c r="E283" t="s">
        <v>9</v>
      </c>
      <c r="F283" t="s">
        <v>10</v>
      </c>
      <c r="G283">
        <f>Order_Details_PBI[[#This Row],[Profit]]/Order_Details_PBI[[#This Row],[Amount]]</f>
        <v>0.15702479338842976</v>
      </c>
      <c r="H283" t="str">
        <f>IF(Order_Details_PBI[[#This Row],[Profit Margine]]&lt;0," Loss",IF(Order_Details_PBI[[#This Row],[Profit Margine]]=0," Break-Even","Profit"))</f>
        <v>Profit</v>
      </c>
      <c r="I283" s="2">
        <v>43430</v>
      </c>
      <c r="J283" t="s">
        <v>818</v>
      </c>
      <c r="K283" t="str">
        <f>UPPER(List_of_Orders_PBI[[#This Row],[CustomerName]])</f>
        <v>MASURKAR</v>
      </c>
      <c r="L283" t="s">
        <v>569</v>
      </c>
      <c r="M283" t="s">
        <v>814</v>
      </c>
      <c r="N283" t="str">
        <f>TEXT(List_of_Orders_PBI[[#This Row],[Order Date]],"DD-MMM-YYYY")</f>
        <v>26-Nov-2018</v>
      </c>
      <c r="O283" t="str">
        <f>_xlfn.CONCAT(List_of_Orders_PBI[[#This Row],[City]] &amp;" - "&amp; List_of_Orders_PBI[[#This Row],[State]])</f>
        <v>Amritsar - Punjab</v>
      </c>
    </row>
    <row r="284" spans="1:15" x14ac:dyDescent="0.3">
      <c r="A284" t="s">
        <v>308</v>
      </c>
      <c r="B284">
        <v>146</v>
      </c>
      <c r="C284">
        <v>42</v>
      </c>
      <c r="D284">
        <v>5</v>
      </c>
      <c r="E284" t="s">
        <v>9</v>
      </c>
      <c r="F284" t="s">
        <v>11</v>
      </c>
      <c r="G284">
        <f>Order_Details_PBI[[#This Row],[Profit]]/Order_Details_PBI[[#This Row],[Amount]]</f>
        <v>0.28767123287671231</v>
      </c>
      <c r="H284" t="str">
        <f>IF(Order_Details_PBI[[#This Row],[Profit Margine]]&lt;0," Loss",IF(Order_Details_PBI[[#This Row],[Profit Margine]]=0," Break-Even","Profit"))</f>
        <v>Profit</v>
      </c>
      <c r="I284" s="2">
        <v>43431</v>
      </c>
      <c r="J284" t="s">
        <v>819</v>
      </c>
      <c r="K284" t="str">
        <f>UPPER(List_of_Orders_PBI[[#This Row],[CustomerName]])</f>
        <v>SAPTADEEP</v>
      </c>
      <c r="L284" t="s">
        <v>536</v>
      </c>
      <c r="M284" t="s">
        <v>807</v>
      </c>
      <c r="N284" t="str">
        <f>TEXT(List_of_Orders_PBI[[#This Row],[Order Date]],"DD-MMM-YYYY")</f>
        <v>27-Nov-2018</v>
      </c>
      <c r="O284" t="str">
        <f>_xlfn.CONCAT(List_of_Orders_PBI[[#This Row],[City]] &amp;" - "&amp; List_of_Orders_PBI[[#This Row],[State]])</f>
        <v>Surat - Gujarat</v>
      </c>
    </row>
    <row r="285" spans="1:15" x14ac:dyDescent="0.3">
      <c r="A285" t="s">
        <v>309</v>
      </c>
      <c r="B285">
        <v>24</v>
      </c>
      <c r="C285">
        <v>2</v>
      </c>
      <c r="D285">
        <v>4</v>
      </c>
      <c r="E285" t="s">
        <v>9</v>
      </c>
      <c r="F285" t="s">
        <v>11</v>
      </c>
      <c r="G285">
        <f>Order_Details_PBI[[#This Row],[Profit]]/Order_Details_PBI[[#This Row],[Amount]]</f>
        <v>8.3333333333333329E-2</v>
      </c>
      <c r="H285" t="str">
        <f>IF(Order_Details_PBI[[#This Row],[Profit Margine]]&lt;0," Loss",IF(Order_Details_PBI[[#This Row],[Profit Margine]]=0," Break-Even","Profit"))</f>
        <v>Profit</v>
      </c>
      <c r="I285" s="2">
        <v>43432</v>
      </c>
      <c r="J285" t="s">
        <v>820</v>
      </c>
      <c r="K285" t="str">
        <f>UPPER(List_of_Orders_PBI[[#This Row],[CustomerName]])</f>
        <v>SUMEET</v>
      </c>
      <c r="L285" t="s">
        <v>539</v>
      </c>
      <c r="M285" t="s">
        <v>595</v>
      </c>
      <c r="N285" t="str">
        <f>TEXT(List_of_Orders_PBI[[#This Row],[Order Date]],"DD-MMM-YYYY")</f>
        <v>28-Nov-2018</v>
      </c>
      <c r="O285" t="str">
        <f>_xlfn.CONCAT(List_of_Orders_PBI[[#This Row],[City]] &amp;" - "&amp; List_of_Orders_PBI[[#This Row],[State]])</f>
        <v>Mumbai - Maharashtra</v>
      </c>
    </row>
    <row r="286" spans="1:15" x14ac:dyDescent="0.3">
      <c r="A286" t="s">
        <v>310</v>
      </c>
      <c r="B286">
        <v>94</v>
      </c>
      <c r="C286">
        <v>27</v>
      </c>
      <c r="D286">
        <v>2</v>
      </c>
      <c r="E286" t="s">
        <v>9</v>
      </c>
      <c r="F286" t="s">
        <v>25</v>
      </c>
      <c r="G286">
        <f>Order_Details_PBI[[#This Row],[Profit]]/Order_Details_PBI[[#This Row],[Amount]]</f>
        <v>0.28723404255319152</v>
      </c>
      <c r="H286" t="str">
        <f>IF(Order_Details_PBI[[#This Row],[Profit Margine]]&lt;0," Loss",IF(Order_Details_PBI[[#This Row],[Profit Margine]]=0," Break-Even","Profit"))</f>
        <v>Profit</v>
      </c>
      <c r="I286" s="2">
        <v>43432</v>
      </c>
      <c r="J286" t="s">
        <v>821</v>
      </c>
      <c r="K286" t="str">
        <f>UPPER(List_of_Orders_PBI[[#This Row],[CustomerName]])</f>
        <v>SHATAYU</v>
      </c>
      <c r="L286" t="s">
        <v>542</v>
      </c>
      <c r="M286" t="s">
        <v>597</v>
      </c>
      <c r="N286" t="str">
        <f>TEXT(List_of_Orders_PBI[[#This Row],[Order Date]],"DD-MMM-YYYY")</f>
        <v>28-Nov-2018</v>
      </c>
      <c r="O286" t="str">
        <f>_xlfn.CONCAT(List_of_Orders_PBI[[#This Row],[City]] &amp;" - "&amp; List_of_Orders_PBI[[#This Row],[State]])</f>
        <v>Indore - Madhya Pradesh</v>
      </c>
    </row>
    <row r="287" spans="1:15" x14ac:dyDescent="0.3">
      <c r="A287" t="s">
        <v>311</v>
      </c>
      <c r="B287">
        <v>89</v>
      </c>
      <c r="C287">
        <v>17</v>
      </c>
      <c r="D287">
        <v>2</v>
      </c>
      <c r="E287" t="s">
        <v>9</v>
      </c>
      <c r="F287" t="s">
        <v>10</v>
      </c>
      <c r="G287">
        <f>Order_Details_PBI[[#This Row],[Profit]]/Order_Details_PBI[[#This Row],[Amount]]</f>
        <v>0.19101123595505617</v>
      </c>
      <c r="H287" t="str">
        <f>IF(Order_Details_PBI[[#This Row],[Profit Margine]]&lt;0," Loss",IF(Order_Details_PBI[[#This Row],[Profit Margine]]=0," Break-Even","Profit"))</f>
        <v>Profit</v>
      </c>
      <c r="I287" s="2">
        <v>43432</v>
      </c>
      <c r="J287" t="s">
        <v>822</v>
      </c>
      <c r="K287" t="str">
        <f>UPPER(List_of_Orders_PBI[[#This Row],[CustomerName]])</f>
        <v>BRIJESH</v>
      </c>
      <c r="L287" t="s">
        <v>545</v>
      </c>
      <c r="M287" t="s">
        <v>810</v>
      </c>
      <c r="N287" t="str">
        <f>TEXT(List_of_Orders_PBI[[#This Row],[Order Date]],"DD-MMM-YYYY")</f>
        <v>28-Nov-2018</v>
      </c>
      <c r="O287" t="str">
        <f>_xlfn.CONCAT(List_of_Orders_PBI[[#This Row],[City]] &amp;" - "&amp; List_of_Orders_PBI[[#This Row],[State]])</f>
        <v>Udaipur - Rajasthan</v>
      </c>
    </row>
    <row r="288" spans="1:15" x14ac:dyDescent="0.3">
      <c r="A288" t="s">
        <v>312</v>
      </c>
      <c r="B288">
        <v>83</v>
      </c>
      <c r="C288">
        <v>6</v>
      </c>
      <c r="D288">
        <v>6</v>
      </c>
      <c r="E288" t="s">
        <v>9</v>
      </c>
      <c r="F288" t="s">
        <v>25</v>
      </c>
      <c r="G288">
        <f>Order_Details_PBI[[#This Row],[Profit]]/Order_Details_PBI[[#This Row],[Amount]]</f>
        <v>7.2289156626506021E-2</v>
      </c>
      <c r="H288" t="str">
        <f>IF(Order_Details_PBI[[#This Row],[Profit Margine]]&lt;0," Loss",IF(Order_Details_PBI[[#This Row],[Profit Margine]]=0," Break-Even","Profit"))</f>
        <v>Profit</v>
      </c>
      <c r="I288" s="2">
        <v>43435</v>
      </c>
      <c r="J288" t="s">
        <v>823</v>
      </c>
      <c r="K288" t="str">
        <f>UPPER(List_of_Orders_PBI[[#This Row],[CustomerName]])</f>
        <v>VEDANT</v>
      </c>
      <c r="L288" t="s">
        <v>560</v>
      </c>
      <c r="M288" t="s">
        <v>812</v>
      </c>
      <c r="N288" t="str">
        <f>TEXT(List_of_Orders_PBI[[#This Row],[Order Date]],"DD-MMM-YYYY")</f>
        <v>01-Dec-2018</v>
      </c>
      <c r="O288" t="str">
        <f>_xlfn.CONCAT(List_of_Orders_PBI[[#This Row],[City]] &amp;" - "&amp; List_of_Orders_PBI[[#This Row],[State]])</f>
        <v>Allahabad - Uttar Pradesh</v>
      </c>
    </row>
    <row r="289" spans="1:15" x14ac:dyDescent="0.3">
      <c r="A289" t="s">
        <v>313</v>
      </c>
      <c r="B289">
        <v>18</v>
      </c>
      <c r="C289">
        <v>2</v>
      </c>
      <c r="D289">
        <v>3</v>
      </c>
      <c r="E289" t="s">
        <v>9</v>
      </c>
      <c r="F289" t="s">
        <v>11</v>
      </c>
      <c r="G289">
        <f>Order_Details_PBI[[#This Row],[Profit]]/Order_Details_PBI[[#This Row],[Amount]]</f>
        <v>0.1111111111111111</v>
      </c>
      <c r="H289" t="str">
        <f>IF(Order_Details_PBI[[#This Row],[Profit Margine]]&lt;0," Loss",IF(Order_Details_PBI[[#This Row],[Profit Margine]]=0," Break-Even","Profit"))</f>
        <v>Profit</v>
      </c>
      <c r="I289" s="2">
        <v>43436</v>
      </c>
      <c r="J289" t="s">
        <v>771</v>
      </c>
      <c r="K289" t="str">
        <f>UPPER(List_of_Orders_PBI[[#This Row],[CustomerName]])</f>
        <v>ROHAN</v>
      </c>
      <c r="L289" t="s">
        <v>569</v>
      </c>
      <c r="M289" t="s">
        <v>814</v>
      </c>
      <c r="N289" t="str">
        <f>TEXT(List_of_Orders_PBI[[#This Row],[Order Date]],"DD-MMM-YYYY")</f>
        <v>02-Dec-2018</v>
      </c>
      <c r="O289" t="str">
        <f>_xlfn.CONCAT(List_of_Orders_PBI[[#This Row],[City]] &amp;" - "&amp; List_of_Orders_PBI[[#This Row],[State]])</f>
        <v>Amritsar - Punjab</v>
      </c>
    </row>
    <row r="290" spans="1:15" x14ac:dyDescent="0.3">
      <c r="A290" t="s">
        <v>314</v>
      </c>
      <c r="B290">
        <v>31</v>
      </c>
      <c r="C290">
        <v>10</v>
      </c>
      <c r="D290">
        <v>1</v>
      </c>
      <c r="E290" t="s">
        <v>9</v>
      </c>
      <c r="F290" t="s">
        <v>20</v>
      </c>
      <c r="G290">
        <f>Order_Details_PBI[[#This Row],[Profit]]/Order_Details_PBI[[#This Row],[Amount]]</f>
        <v>0.32258064516129031</v>
      </c>
      <c r="H290" t="str">
        <f>IF(Order_Details_PBI[[#This Row],[Profit Margine]]&lt;0," Loss",IF(Order_Details_PBI[[#This Row],[Profit Margine]]=0," Break-Even","Profit"))</f>
        <v>Profit</v>
      </c>
      <c r="I290" s="2">
        <v>43437</v>
      </c>
      <c r="J290" t="s">
        <v>739</v>
      </c>
      <c r="K290" t="str">
        <f>UPPER(List_of_Orders_PBI[[#This Row],[CustomerName]])</f>
        <v>ABHISHEK</v>
      </c>
      <c r="L290" t="s">
        <v>536</v>
      </c>
      <c r="M290" t="s">
        <v>807</v>
      </c>
      <c r="N290" t="str">
        <f>TEXT(List_of_Orders_PBI[[#This Row],[Order Date]],"DD-MMM-YYYY")</f>
        <v>03-Dec-2018</v>
      </c>
      <c r="O290" t="str">
        <f>_xlfn.CONCAT(List_of_Orders_PBI[[#This Row],[City]] &amp;" - "&amp; List_of_Orders_PBI[[#This Row],[State]])</f>
        <v>Surat - Gujarat</v>
      </c>
    </row>
    <row r="291" spans="1:15" x14ac:dyDescent="0.3">
      <c r="A291" t="s">
        <v>315</v>
      </c>
      <c r="B291">
        <v>465</v>
      </c>
      <c r="C291">
        <v>207</v>
      </c>
      <c r="D291">
        <v>9</v>
      </c>
      <c r="E291" t="s">
        <v>9</v>
      </c>
      <c r="F291" t="s">
        <v>16</v>
      </c>
      <c r="G291">
        <f>Order_Details_PBI[[#This Row],[Profit]]/Order_Details_PBI[[#This Row],[Amount]]</f>
        <v>0.44516129032258067</v>
      </c>
      <c r="H291" t="str">
        <f>IF(Order_Details_PBI[[#This Row],[Profit Margine]]&lt;0," Loss",IF(Order_Details_PBI[[#This Row],[Profit Margine]]=0," Break-Even","Profit"))</f>
        <v>Profit</v>
      </c>
      <c r="I291" s="2">
        <v>43438</v>
      </c>
      <c r="J291" t="s">
        <v>824</v>
      </c>
      <c r="K291" t="str">
        <f>UPPER(List_of_Orders_PBI[[#This Row],[CustomerName]])</f>
        <v>DIVYANSHA</v>
      </c>
      <c r="L291" t="s">
        <v>539</v>
      </c>
      <c r="M291" t="s">
        <v>595</v>
      </c>
      <c r="N291" t="str">
        <f>TEXT(List_of_Orders_PBI[[#This Row],[Order Date]],"DD-MMM-YYYY")</f>
        <v>04-Dec-2018</v>
      </c>
      <c r="O291" t="str">
        <f>_xlfn.CONCAT(List_of_Orders_PBI[[#This Row],[City]] &amp;" - "&amp; List_of_Orders_PBI[[#This Row],[State]])</f>
        <v>Mumbai - Maharashtra</v>
      </c>
    </row>
    <row r="292" spans="1:15" x14ac:dyDescent="0.3">
      <c r="A292" t="s">
        <v>316</v>
      </c>
      <c r="B292">
        <v>25</v>
      </c>
      <c r="C292">
        <v>2</v>
      </c>
      <c r="D292">
        <v>2</v>
      </c>
      <c r="E292" t="s">
        <v>9</v>
      </c>
      <c r="F292" t="s">
        <v>11</v>
      </c>
      <c r="G292">
        <f>Order_Details_PBI[[#This Row],[Profit]]/Order_Details_PBI[[#This Row],[Amount]]</f>
        <v>0.08</v>
      </c>
      <c r="H292" t="str">
        <f>IF(Order_Details_PBI[[#This Row],[Profit Margine]]&lt;0," Loss",IF(Order_Details_PBI[[#This Row],[Profit Margine]]=0," Break-Even","Profit"))</f>
        <v>Profit</v>
      </c>
      <c r="I292" s="2">
        <v>43438</v>
      </c>
      <c r="J292" t="s">
        <v>674</v>
      </c>
      <c r="K292" t="str">
        <f>UPPER(List_of_Orders_PBI[[#This Row],[CustomerName]])</f>
        <v>SHIVANI</v>
      </c>
      <c r="L292" t="s">
        <v>542</v>
      </c>
      <c r="M292" t="s">
        <v>597</v>
      </c>
      <c r="N292" t="str">
        <f>TEXT(List_of_Orders_PBI[[#This Row],[Order Date]],"DD-MMM-YYYY")</f>
        <v>04-Dec-2018</v>
      </c>
      <c r="O292" t="str">
        <f>_xlfn.CONCAT(List_of_Orders_PBI[[#This Row],[City]] &amp;" - "&amp; List_of_Orders_PBI[[#This Row],[State]])</f>
        <v>Indore - Madhya Pradesh</v>
      </c>
    </row>
    <row r="293" spans="1:15" x14ac:dyDescent="0.3">
      <c r="A293" t="s">
        <v>317</v>
      </c>
      <c r="B293">
        <v>139</v>
      </c>
      <c r="C293">
        <v>30</v>
      </c>
      <c r="D293">
        <v>3</v>
      </c>
      <c r="E293" t="s">
        <v>9</v>
      </c>
      <c r="F293" t="s">
        <v>25</v>
      </c>
      <c r="G293">
        <f>Order_Details_PBI[[#This Row],[Profit]]/Order_Details_PBI[[#This Row],[Amount]]</f>
        <v>0.21582733812949639</v>
      </c>
      <c r="H293" t="str">
        <f>IF(Order_Details_PBI[[#This Row],[Profit Margine]]&lt;0," Loss",IF(Order_Details_PBI[[#This Row],[Profit Margine]]=0," Break-Even","Profit"))</f>
        <v>Profit</v>
      </c>
      <c r="I293" s="2">
        <v>43438</v>
      </c>
      <c r="J293" t="s">
        <v>733</v>
      </c>
      <c r="K293" t="str">
        <f>UPPER(List_of_Orders_PBI[[#This Row],[CustomerName]])</f>
        <v>ADITI</v>
      </c>
      <c r="L293" t="s">
        <v>545</v>
      </c>
      <c r="M293" t="s">
        <v>810</v>
      </c>
      <c r="N293" t="str">
        <f>TEXT(List_of_Orders_PBI[[#This Row],[Order Date]],"DD-MMM-YYYY")</f>
        <v>04-Dec-2018</v>
      </c>
      <c r="O293" t="str">
        <f>_xlfn.CONCAT(List_of_Orders_PBI[[#This Row],[City]] &amp;" - "&amp; List_of_Orders_PBI[[#This Row],[State]])</f>
        <v>Udaipur - Rajasthan</v>
      </c>
    </row>
    <row r="294" spans="1:15" x14ac:dyDescent="0.3">
      <c r="A294" t="s">
        <v>318</v>
      </c>
      <c r="B294">
        <v>355</v>
      </c>
      <c r="C294">
        <v>114</v>
      </c>
      <c r="D294">
        <v>7</v>
      </c>
      <c r="E294" t="s">
        <v>9</v>
      </c>
      <c r="F294" t="s">
        <v>10</v>
      </c>
      <c r="G294">
        <f>Order_Details_PBI[[#This Row],[Profit]]/Order_Details_PBI[[#This Row],[Amount]]</f>
        <v>0.3211267605633803</v>
      </c>
      <c r="H294" t="str">
        <f>IF(Order_Details_PBI[[#This Row],[Profit Margine]]&lt;0," Loss",IF(Order_Details_PBI[[#This Row],[Profit Margine]]=0," Break-Even","Profit"))</f>
        <v>Profit</v>
      </c>
      <c r="I294" s="2">
        <v>43438</v>
      </c>
      <c r="J294" t="s">
        <v>825</v>
      </c>
      <c r="K294" t="str">
        <f>UPPER(List_of_Orders_PBI[[#This Row],[CustomerName]])</f>
        <v>AASHNA</v>
      </c>
      <c r="L294" t="s">
        <v>560</v>
      </c>
      <c r="M294" t="s">
        <v>812</v>
      </c>
      <c r="N294" t="str">
        <f>TEXT(List_of_Orders_PBI[[#This Row],[Order Date]],"DD-MMM-YYYY")</f>
        <v>04-Dec-2018</v>
      </c>
      <c r="O294" t="str">
        <f>_xlfn.CONCAT(List_of_Orders_PBI[[#This Row],[City]] &amp;" - "&amp; List_of_Orders_PBI[[#This Row],[State]])</f>
        <v>Allahabad - Uttar Pradesh</v>
      </c>
    </row>
    <row r="295" spans="1:15" x14ac:dyDescent="0.3">
      <c r="A295" t="s">
        <v>319</v>
      </c>
      <c r="B295">
        <v>1246</v>
      </c>
      <c r="C295">
        <v>62</v>
      </c>
      <c r="D295">
        <v>3</v>
      </c>
      <c r="E295" t="s">
        <v>7</v>
      </c>
      <c r="F295" t="s">
        <v>8</v>
      </c>
      <c r="G295">
        <f>Order_Details_PBI[[#This Row],[Profit]]/Order_Details_PBI[[#This Row],[Amount]]</f>
        <v>4.9759229534510431E-2</v>
      </c>
      <c r="H295" t="str">
        <f>IF(Order_Details_PBI[[#This Row],[Profit Margine]]&lt;0," Loss",IF(Order_Details_PBI[[#This Row],[Profit Margine]]=0," Break-Even","Profit"))</f>
        <v>Profit</v>
      </c>
      <c r="I295" s="2">
        <v>43438</v>
      </c>
      <c r="J295" t="s">
        <v>826</v>
      </c>
      <c r="K295" t="str">
        <f>UPPER(List_of_Orders_PBI[[#This Row],[CustomerName]])</f>
        <v>MONU</v>
      </c>
      <c r="L295" t="s">
        <v>569</v>
      </c>
      <c r="M295" t="s">
        <v>814</v>
      </c>
      <c r="N295" t="str">
        <f>TEXT(List_of_Orders_PBI[[#This Row],[Order Date]],"DD-MMM-YYYY")</f>
        <v>04-Dec-2018</v>
      </c>
      <c r="O295" t="str">
        <f>_xlfn.CONCAT(List_of_Orders_PBI[[#This Row],[City]] &amp;" - "&amp; List_of_Orders_PBI[[#This Row],[State]])</f>
        <v>Amritsar - Punjab</v>
      </c>
    </row>
    <row r="296" spans="1:15" x14ac:dyDescent="0.3">
      <c r="A296" t="s">
        <v>320</v>
      </c>
      <c r="B296">
        <v>388</v>
      </c>
      <c r="C296">
        <v>93</v>
      </c>
      <c r="D296">
        <v>2</v>
      </c>
      <c r="E296" t="s">
        <v>7</v>
      </c>
      <c r="F296" t="s">
        <v>8</v>
      </c>
      <c r="G296">
        <f>Order_Details_PBI[[#This Row],[Profit]]/Order_Details_PBI[[#This Row],[Amount]]</f>
        <v>0.23969072164948454</v>
      </c>
      <c r="H296" t="str">
        <f>IF(Order_Details_PBI[[#This Row],[Profit Margine]]&lt;0," Loss",IF(Order_Details_PBI[[#This Row],[Profit Margine]]=0," Break-Even","Profit"))</f>
        <v>Profit</v>
      </c>
      <c r="I296" s="2">
        <v>43438</v>
      </c>
      <c r="J296" t="s">
        <v>827</v>
      </c>
      <c r="K296" t="str">
        <f>UPPER(List_of_Orders_PBI[[#This Row],[CustomerName]])</f>
        <v>SATHYA</v>
      </c>
      <c r="L296" t="s">
        <v>536</v>
      </c>
      <c r="M296" t="s">
        <v>807</v>
      </c>
      <c r="N296" t="str">
        <f>TEXT(List_of_Orders_PBI[[#This Row],[Order Date]],"DD-MMM-YYYY")</f>
        <v>04-Dec-2018</v>
      </c>
      <c r="O296" t="str">
        <f>_xlfn.CONCAT(List_of_Orders_PBI[[#This Row],[City]] &amp;" - "&amp; List_of_Orders_PBI[[#This Row],[State]])</f>
        <v>Surat - Gujarat</v>
      </c>
    </row>
    <row r="297" spans="1:15" x14ac:dyDescent="0.3">
      <c r="A297" t="s">
        <v>321</v>
      </c>
      <c r="B297">
        <v>31</v>
      </c>
      <c r="C297">
        <v>11</v>
      </c>
      <c r="D297">
        <v>3</v>
      </c>
      <c r="E297" t="s">
        <v>9</v>
      </c>
      <c r="F297" t="s">
        <v>53</v>
      </c>
      <c r="G297">
        <f>Order_Details_PBI[[#This Row],[Profit]]/Order_Details_PBI[[#This Row],[Amount]]</f>
        <v>0.35483870967741937</v>
      </c>
      <c r="H297" t="str">
        <f>IF(Order_Details_PBI[[#This Row],[Profit Margine]]&lt;0," Loss",IF(Order_Details_PBI[[#This Row],[Profit Margine]]=0," Break-Even","Profit"))</f>
        <v>Profit</v>
      </c>
      <c r="I297" s="2">
        <v>43439</v>
      </c>
      <c r="J297" t="s">
        <v>707</v>
      </c>
      <c r="K297" t="str">
        <f>UPPER(List_of_Orders_PBI[[#This Row],[CustomerName]])</f>
        <v>AMAN</v>
      </c>
      <c r="L297" t="s">
        <v>539</v>
      </c>
      <c r="M297" t="s">
        <v>595</v>
      </c>
      <c r="N297" t="str">
        <f>TEXT(List_of_Orders_PBI[[#This Row],[Order Date]],"DD-MMM-YYYY")</f>
        <v>05-Dec-2018</v>
      </c>
      <c r="O297" t="str">
        <f>_xlfn.CONCAT(List_of_Orders_PBI[[#This Row],[City]] &amp;" - "&amp; List_of_Orders_PBI[[#This Row],[State]])</f>
        <v>Mumbai - Maharashtra</v>
      </c>
    </row>
    <row r="298" spans="1:15" x14ac:dyDescent="0.3">
      <c r="A298" t="s">
        <v>322</v>
      </c>
      <c r="B298">
        <v>43</v>
      </c>
      <c r="C298">
        <v>5</v>
      </c>
      <c r="D298">
        <v>3</v>
      </c>
      <c r="E298" t="s">
        <v>9</v>
      </c>
      <c r="F298" t="s">
        <v>10</v>
      </c>
      <c r="G298">
        <f>Order_Details_PBI[[#This Row],[Profit]]/Order_Details_PBI[[#This Row],[Amount]]</f>
        <v>0.11627906976744186</v>
      </c>
      <c r="H298" t="str">
        <f>IF(Order_Details_PBI[[#This Row],[Profit Margine]]&lt;0," Loss",IF(Order_Details_PBI[[#This Row],[Profit Margine]]=0," Break-Even","Profit"))</f>
        <v>Profit</v>
      </c>
      <c r="I298" s="2">
        <v>43440</v>
      </c>
      <c r="J298" t="s">
        <v>771</v>
      </c>
      <c r="K298" t="str">
        <f>UPPER(List_of_Orders_PBI[[#This Row],[CustomerName]])</f>
        <v>ROHAN</v>
      </c>
      <c r="L298" t="s">
        <v>542</v>
      </c>
      <c r="M298" t="s">
        <v>597</v>
      </c>
      <c r="N298" t="str">
        <f>TEXT(List_of_Orders_PBI[[#This Row],[Order Date]],"DD-MMM-YYYY")</f>
        <v>06-Dec-2018</v>
      </c>
      <c r="O298" t="str">
        <f>_xlfn.CONCAT(List_of_Orders_PBI[[#This Row],[City]] &amp;" - "&amp; List_of_Orders_PBI[[#This Row],[State]])</f>
        <v>Indore - Madhya Pradesh</v>
      </c>
    </row>
    <row r="299" spans="1:15" x14ac:dyDescent="0.3">
      <c r="A299" t="s">
        <v>323</v>
      </c>
      <c r="B299">
        <v>33</v>
      </c>
      <c r="C299">
        <v>13</v>
      </c>
      <c r="D299">
        <v>3</v>
      </c>
      <c r="E299" t="s">
        <v>9</v>
      </c>
      <c r="F299" t="s">
        <v>27</v>
      </c>
      <c r="G299">
        <f>Order_Details_PBI[[#This Row],[Profit]]/Order_Details_PBI[[#This Row],[Amount]]</f>
        <v>0.39393939393939392</v>
      </c>
      <c r="H299" t="str">
        <f>IF(Order_Details_PBI[[#This Row],[Profit Margine]]&lt;0," Loss",IF(Order_Details_PBI[[#This Row],[Profit Margine]]=0," Break-Even","Profit"))</f>
        <v>Profit</v>
      </c>
      <c r="I299" s="2">
        <v>43441</v>
      </c>
      <c r="J299" t="s">
        <v>739</v>
      </c>
      <c r="K299" t="str">
        <f>UPPER(List_of_Orders_PBI[[#This Row],[CustomerName]])</f>
        <v>ABHISHEK</v>
      </c>
      <c r="L299" t="s">
        <v>545</v>
      </c>
      <c r="M299" t="s">
        <v>810</v>
      </c>
      <c r="N299" t="str">
        <f>TEXT(List_of_Orders_PBI[[#This Row],[Order Date]],"DD-MMM-YYYY")</f>
        <v>07-Dec-2018</v>
      </c>
      <c r="O299" t="str">
        <f>_xlfn.CONCAT(List_of_Orders_PBI[[#This Row],[City]] &amp;" - "&amp; List_of_Orders_PBI[[#This Row],[State]])</f>
        <v>Udaipur - Rajasthan</v>
      </c>
    </row>
    <row r="300" spans="1:15" x14ac:dyDescent="0.3">
      <c r="A300" t="s">
        <v>324</v>
      </c>
      <c r="B300">
        <v>22</v>
      </c>
      <c r="C300">
        <v>9</v>
      </c>
      <c r="D300">
        <v>2</v>
      </c>
      <c r="E300" t="s">
        <v>9</v>
      </c>
      <c r="F300" t="s">
        <v>27</v>
      </c>
      <c r="G300">
        <f>Order_Details_PBI[[#This Row],[Profit]]/Order_Details_PBI[[#This Row],[Amount]]</f>
        <v>0.40909090909090912</v>
      </c>
      <c r="H300" t="str">
        <f>IF(Order_Details_PBI[[#This Row],[Profit Margine]]&lt;0," Loss",IF(Order_Details_PBI[[#This Row],[Profit Margine]]=0," Break-Even","Profit"))</f>
        <v>Profit</v>
      </c>
      <c r="I300" s="2">
        <v>43442</v>
      </c>
      <c r="J300" t="s">
        <v>828</v>
      </c>
      <c r="K300" t="str">
        <f>UPPER(List_of_Orders_PBI[[#This Row],[CustomerName]])</f>
        <v>AISHWARYA</v>
      </c>
      <c r="L300" t="s">
        <v>560</v>
      </c>
      <c r="M300" t="s">
        <v>812</v>
      </c>
      <c r="N300" t="str">
        <f>TEXT(List_of_Orders_PBI[[#This Row],[Order Date]],"DD-MMM-YYYY")</f>
        <v>08-Dec-2018</v>
      </c>
      <c r="O300" t="str">
        <f>_xlfn.CONCAT(List_of_Orders_PBI[[#This Row],[City]] &amp;" - "&amp; List_of_Orders_PBI[[#This Row],[State]])</f>
        <v>Allahabad - Uttar Pradesh</v>
      </c>
    </row>
    <row r="301" spans="1:15" x14ac:dyDescent="0.3">
      <c r="A301" t="s">
        <v>325</v>
      </c>
      <c r="B301">
        <v>15</v>
      </c>
      <c r="C301">
        <v>2</v>
      </c>
      <c r="D301">
        <v>1</v>
      </c>
      <c r="E301" t="s">
        <v>9</v>
      </c>
      <c r="F301" t="s">
        <v>27</v>
      </c>
      <c r="G301">
        <f>Order_Details_PBI[[#This Row],[Profit]]/Order_Details_PBI[[#This Row],[Amount]]</f>
        <v>0.13333333333333333</v>
      </c>
      <c r="H301" t="str">
        <f>IF(Order_Details_PBI[[#This Row],[Profit Margine]]&lt;0," Loss",IF(Order_Details_PBI[[#This Row],[Profit Margine]]=0," Break-Even","Profit"))</f>
        <v>Profit</v>
      </c>
      <c r="I301" s="2">
        <v>43443</v>
      </c>
      <c r="J301" t="s">
        <v>796</v>
      </c>
      <c r="K301" t="str">
        <f>UPPER(List_of_Orders_PBI[[#This Row],[CustomerName]])</f>
        <v>ANAND</v>
      </c>
      <c r="L301" t="s">
        <v>569</v>
      </c>
      <c r="M301" t="s">
        <v>814</v>
      </c>
      <c r="N301" t="str">
        <f>TEXT(List_of_Orders_PBI[[#This Row],[Order Date]],"DD-MMM-YYYY")</f>
        <v>09-Dec-2018</v>
      </c>
      <c r="O301" t="str">
        <f>_xlfn.CONCAT(List_of_Orders_PBI[[#This Row],[City]] &amp;" - "&amp; List_of_Orders_PBI[[#This Row],[State]])</f>
        <v>Amritsar - Punjab</v>
      </c>
    </row>
    <row r="302" spans="1:15" x14ac:dyDescent="0.3">
      <c r="A302" t="s">
        <v>326</v>
      </c>
      <c r="B302">
        <v>158</v>
      </c>
      <c r="C302">
        <v>38</v>
      </c>
      <c r="D302">
        <v>3</v>
      </c>
      <c r="E302" t="s">
        <v>9</v>
      </c>
      <c r="F302" t="s">
        <v>11</v>
      </c>
      <c r="G302">
        <f>Order_Details_PBI[[#This Row],[Profit]]/Order_Details_PBI[[#This Row],[Amount]]</f>
        <v>0.24050632911392406</v>
      </c>
      <c r="H302" t="str">
        <f>IF(Order_Details_PBI[[#This Row],[Profit Margine]]&lt;0," Loss",IF(Order_Details_PBI[[#This Row],[Profit Margine]]=0," Break-Even","Profit"))</f>
        <v>Profit</v>
      </c>
      <c r="I302" s="2">
        <v>43444</v>
      </c>
      <c r="J302" t="s">
        <v>829</v>
      </c>
      <c r="K302" t="str">
        <f>UPPER(List_of_Orders_PBI[[#This Row],[CustomerName]])</f>
        <v>SURAJ</v>
      </c>
      <c r="L302" t="s">
        <v>536</v>
      </c>
      <c r="M302" t="s">
        <v>807</v>
      </c>
      <c r="N302" t="str">
        <f>TEXT(List_of_Orders_PBI[[#This Row],[Order Date]],"DD-MMM-YYYY")</f>
        <v>10-Dec-2018</v>
      </c>
      <c r="O302" t="str">
        <f>_xlfn.CONCAT(List_of_Orders_PBI[[#This Row],[City]] &amp;" - "&amp; List_of_Orders_PBI[[#This Row],[State]])</f>
        <v>Surat - Gujarat</v>
      </c>
    </row>
    <row r="303" spans="1:15" x14ac:dyDescent="0.3">
      <c r="A303" t="s">
        <v>327</v>
      </c>
      <c r="B303">
        <v>79</v>
      </c>
      <c r="C303">
        <v>6</v>
      </c>
      <c r="D303">
        <v>7</v>
      </c>
      <c r="E303" t="s">
        <v>9</v>
      </c>
      <c r="F303" t="s">
        <v>16</v>
      </c>
      <c r="G303">
        <f>Order_Details_PBI[[#This Row],[Profit]]/Order_Details_PBI[[#This Row],[Amount]]</f>
        <v>7.5949367088607597E-2</v>
      </c>
      <c r="H303" t="str">
        <f>IF(Order_Details_PBI[[#This Row],[Profit Margine]]&lt;0," Loss",IF(Order_Details_PBI[[#This Row],[Profit Margine]]=0," Break-Even","Profit"))</f>
        <v>Profit</v>
      </c>
      <c r="I303" s="2">
        <v>43444</v>
      </c>
      <c r="J303" t="s">
        <v>830</v>
      </c>
      <c r="K303" t="str">
        <f>UPPER(List_of_Orders_PBI[[#This Row],[CustomerName]])</f>
        <v>ISHPREET</v>
      </c>
      <c r="L303" t="s">
        <v>539</v>
      </c>
      <c r="M303" t="s">
        <v>595</v>
      </c>
      <c r="N303" t="str">
        <f>TEXT(List_of_Orders_PBI[[#This Row],[Order Date]],"DD-MMM-YYYY")</f>
        <v>10-Dec-2018</v>
      </c>
      <c r="O303" t="str">
        <f>_xlfn.CONCAT(List_of_Orders_PBI[[#This Row],[City]] &amp;" - "&amp; List_of_Orders_PBI[[#This Row],[State]])</f>
        <v>Mumbai - Maharashtra</v>
      </c>
    </row>
    <row r="304" spans="1:15" x14ac:dyDescent="0.3">
      <c r="A304" t="s">
        <v>328</v>
      </c>
      <c r="B304">
        <v>455</v>
      </c>
      <c r="C304">
        <v>77</v>
      </c>
      <c r="D304">
        <v>8</v>
      </c>
      <c r="E304" t="s">
        <v>12</v>
      </c>
      <c r="F304" t="s">
        <v>33</v>
      </c>
      <c r="G304">
        <f>Order_Details_PBI[[#This Row],[Profit]]/Order_Details_PBI[[#This Row],[Amount]]</f>
        <v>0.16923076923076924</v>
      </c>
      <c r="H304" t="str">
        <f>IF(Order_Details_PBI[[#This Row],[Profit Margine]]&lt;0," Loss",IF(Order_Details_PBI[[#This Row],[Profit Margine]]=0," Break-Even","Profit"))</f>
        <v>Profit</v>
      </c>
      <c r="I304" s="2">
        <v>43444</v>
      </c>
      <c r="J304" t="s">
        <v>831</v>
      </c>
      <c r="K304" t="str">
        <f>UPPER(List_of_Orders_PBI[[#This Row],[CustomerName]])</f>
        <v>AMLAN</v>
      </c>
      <c r="L304" t="s">
        <v>542</v>
      </c>
      <c r="M304" t="s">
        <v>597</v>
      </c>
      <c r="N304" t="str">
        <f>TEXT(List_of_Orders_PBI[[#This Row],[Order Date]],"DD-MMM-YYYY")</f>
        <v>10-Dec-2018</v>
      </c>
      <c r="O304" t="str">
        <f>_xlfn.CONCAT(List_of_Orders_PBI[[#This Row],[City]] &amp;" - "&amp; List_of_Orders_PBI[[#This Row],[State]])</f>
        <v>Indore - Madhya Pradesh</v>
      </c>
    </row>
    <row r="305" spans="1:15" x14ac:dyDescent="0.3">
      <c r="A305" t="s">
        <v>329</v>
      </c>
      <c r="B305">
        <v>871</v>
      </c>
      <c r="C305">
        <v>131</v>
      </c>
      <c r="D305">
        <v>2</v>
      </c>
      <c r="E305" t="s">
        <v>7</v>
      </c>
      <c r="F305" t="s">
        <v>8</v>
      </c>
      <c r="G305">
        <f>Order_Details_PBI[[#This Row],[Profit]]/Order_Details_PBI[[#This Row],[Amount]]</f>
        <v>0.15040183696900114</v>
      </c>
      <c r="H305" t="str">
        <f>IF(Order_Details_PBI[[#This Row],[Profit Margine]]&lt;0," Loss",IF(Order_Details_PBI[[#This Row],[Profit Margine]]=0," Break-Even","Profit"))</f>
        <v>Profit</v>
      </c>
      <c r="I305" s="2">
        <v>43444</v>
      </c>
      <c r="J305" t="s">
        <v>764</v>
      </c>
      <c r="K305" t="str">
        <f>UPPER(List_of_Orders_PBI[[#This Row],[CustomerName]])</f>
        <v>SWAPNIL</v>
      </c>
      <c r="L305" t="s">
        <v>832</v>
      </c>
      <c r="M305" t="s">
        <v>832</v>
      </c>
      <c r="N305" t="str">
        <f>TEXT(List_of_Orders_PBI[[#This Row],[Order Date]],"DD-MMM-YYYY")</f>
        <v>10-Dec-2018</v>
      </c>
      <c r="O305" t="str">
        <f>_xlfn.CONCAT(List_of_Orders_PBI[[#This Row],[City]] &amp;" - "&amp; List_of_Orders_PBI[[#This Row],[State]])</f>
        <v>Delhi - Delhi</v>
      </c>
    </row>
    <row r="306" spans="1:15" x14ac:dyDescent="0.3">
      <c r="A306" t="s">
        <v>330</v>
      </c>
      <c r="B306">
        <v>152</v>
      </c>
      <c r="C306">
        <v>50</v>
      </c>
      <c r="D306">
        <v>6</v>
      </c>
      <c r="E306" t="s">
        <v>9</v>
      </c>
      <c r="F306" t="s">
        <v>10</v>
      </c>
      <c r="G306">
        <f>Order_Details_PBI[[#This Row],[Profit]]/Order_Details_PBI[[#This Row],[Amount]]</f>
        <v>0.32894736842105265</v>
      </c>
      <c r="H306" t="str">
        <f>IF(Order_Details_PBI[[#This Row],[Profit Margine]]&lt;0," Loss",IF(Order_Details_PBI[[#This Row],[Profit Margine]]=0," Break-Even","Profit"))</f>
        <v>Profit</v>
      </c>
      <c r="I306" s="2">
        <v>43445</v>
      </c>
      <c r="J306" t="s">
        <v>833</v>
      </c>
      <c r="K306" t="str">
        <f>UPPER(List_of_Orders_PBI[[#This Row],[CustomerName]])</f>
        <v>BHARGAV</v>
      </c>
      <c r="L306" t="s">
        <v>542</v>
      </c>
      <c r="M306" t="s">
        <v>832</v>
      </c>
      <c r="N306" t="str">
        <f>TEXT(List_of_Orders_PBI[[#This Row],[Order Date]],"DD-MMM-YYYY")</f>
        <v>11-Dec-2018</v>
      </c>
      <c r="O306" t="str">
        <f>_xlfn.CONCAT(List_of_Orders_PBI[[#This Row],[City]] &amp;" - "&amp; List_of_Orders_PBI[[#This Row],[State]])</f>
        <v>Delhi - Madhya Pradesh</v>
      </c>
    </row>
    <row r="307" spans="1:15" x14ac:dyDescent="0.3">
      <c r="A307" t="s">
        <v>331</v>
      </c>
      <c r="B307">
        <v>78</v>
      </c>
      <c r="C307">
        <v>27</v>
      </c>
      <c r="D307">
        <v>3</v>
      </c>
      <c r="E307" t="s">
        <v>9</v>
      </c>
      <c r="F307" t="s">
        <v>10</v>
      </c>
      <c r="G307">
        <f>Order_Details_PBI[[#This Row],[Profit]]/Order_Details_PBI[[#This Row],[Amount]]</f>
        <v>0.34615384615384615</v>
      </c>
      <c r="H307" t="str">
        <f>IF(Order_Details_PBI[[#This Row],[Profit Margine]]&lt;0," Loss",IF(Order_Details_PBI[[#This Row],[Profit Margine]]=0," Break-Even","Profit"))</f>
        <v>Profit</v>
      </c>
      <c r="I307" s="2">
        <v>43445</v>
      </c>
      <c r="J307" t="s">
        <v>834</v>
      </c>
      <c r="K307" t="str">
        <f>UPPER(List_of_Orders_PBI[[#This Row],[CustomerName]])</f>
        <v>ABHIJIT</v>
      </c>
      <c r="L307" t="s">
        <v>832</v>
      </c>
      <c r="M307" t="s">
        <v>832</v>
      </c>
      <c r="N307" t="str">
        <f>TEXT(List_of_Orders_PBI[[#This Row],[Order Date]],"DD-MMM-YYYY")</f>
        <v>11-Dec-2018</v>
      </c>
      <c r="O307" t="str">
        <f>_xlfn.CONCAT(List_of_Orders_PBI[[#This Row],[City]] &amp;" - "&amp; List_of_Orders_PBI[[#This Row],[State]])</f>
        <v>Delhi - Delhi</v>
      </c>
    </row>
    <row r="308" spans="1:15" x14ac:dyDescent="0.3">
      <c r="A308" t="s">
        <v>332</v>
      </c>
      <c r="B308">
        <v>30</v>
      </c>
      <c r="C308">
        <v>11</v>
      </c>
      <c r="D308">
        <v>5</v>
      </c>
      <c r="E308" t="s">
        <v>9</v>
      </c>
      <c r="F308" t="s">
        <v>11</v>
      </c>
      <c r="G308">
        <f>Order_Details_PBI[[#This Row],[Profit]]/Order_Details_PBI[[#This Row],[Amount]]</f>
        <v>0.36666666666666664</v>
      </c>
      <c r="H308" t="str">
        <f>IF(Order_Details_PBI[[#This Row],[Profit Margine]]&lt;0," Loss",IF(Order_Details_PBI[[#This Row],[Profit Margine]]=0," Break-Even","Profit"))</f>
        <v>Profit</v>
      </c>
      <c r="I308" s="2">
        <v>43445</v>
      </c>
      <c r="J308" t="s">
        <v>835</v>
      </c>
      <c r="K308" t="str">
        <f>UPPER(List_of_Orders_PBI[[#This Row],[CustomerName]])</f>
        <v>JAYDEEP</v>
      </c>
      <c r="L308" t="s">
        <v>542</v>
      </c>
      <c r="M308" t="s">
        <v>543</v>
      </c>
      <c r="N308" t="str">
        <f>TEXT(List_of_Orders_PBI[[#This Row],[Order Date]],"DD-MMM-YYYY")</f>
        <v>11-Dec-2018</v>
      </c>
      <c r="O308" t="str">
        <f>_xlfn.CONCAT(List_of_Orders_PBI[[#This Row],[City]] &amp;" - "&amp; List_of_Orders_PBI[[#This Row],[State]])</f>
        <v>Bhopal - Madhya Pradesh</v>
      </c>
    </row>
    <row r="309" spans="1:15" x14ac:dyDescent="0.3">
      <c r="A309" t="s">
        <v>333</v>
      </c>
      <c r="B309">
        <v>179</v>
      </c>
      <c r="C309">
        <v>25</v>
      </c>
      <c r="D309">
        <v>5</v>
      </c>
      <c r="E309" t="s">
        <v>9</v>
      </c>
      <c r="F309" t="s">
        <v>20</v>
      </c>
      <c r="G309">
        <f>Order_Details_PBI[[#This Row],[Profit]]/Order_Details_PBI[[#This Row],[Amount]]</f>
        <v>0.13966480446927373</v>
      </c>
      <c r="H309" t="str">
        <f>IF(Order_Details_PBI[[#This Row],[Profit Margine]]&lt;0," Loss",IF(Order_Details_PBI[[#This Row],[Profit Margine]]=0," Break-Even","Profit"))</f>
        <v>Profit</v>
      </c>
      <c r="I309" s="2">
        <v>43446</v>
      </c>
      <c r="J309" t="s">
        <v>836</v>
      </c>
      <c r="K309" t="str">
        <f>UPPER(List_of_Orders_PBI[[#This Row],[CustomerName]])</f>
        <v>PRADEEP</v>
      </c>
      <c r="L309" t="s">
        <v>832</v>
      </c>
      <c r="M309" t="s">
        <v>832</v>
      </c>
      <c r="N309" t="str">
        <f>TEXT(List_of_Orders_PBI[[#This Row],[Order Date]],"DD-MMM-YYYY")</f>
        <v>12-Dec-2018</v>
      </c>
      <c r="O309" t="str">
        <f>_xlfn.CONCAT(List_of_Orders_PBI[[#This Row],[City]] &amp;" - "&amp; List_of_Orders_PBI[[#This Row],[State]])</f>
        <v>Delhi - Delhi</v>
      </c>
    </row>
    <row r="310" spans="1:15" x14ac:dyDescent="0.3">
      <c r="A310" t="s">
        <v>334</v>
      </c>
      <c r="B310">
        <v>168</v>
      </c>
      <c r="C310">
        <v>56</v>
      </c>
      <c r="D310">
        <v>3</v>
      </c>
      <c r="E310" t="s">
        <v>9</v>
      </c>
      <c r="F310" t="s">
        <v>16</v>
      </c>
      <c r="G310">
        <f>Order_Details_PBI[[#This Row],[Profit]]/Order_Details_PBI[[#This Row],[Amount]]</f>
        <v>0.33333333333333331</v>
      </c>
      <c r="H310" t="str">
        <f>IF(Order_Details_PBI[[#This Row],[Profit Margine]]&lt;0," Loss",IF(Order_Details_PBI[[#This Row],[Profit Margine]]=0," Break-Even","Profit"))</f>
        <v>Profit</v>
      </c>
      <c r="I310" s="2">
        <v>43447</v>
      </c>
      <c r="J310" t="s">
        <v>837</v>
      </c>
      <c r="K310" t="str">
        <f>UPPER(List_of_Orders_PBI[[#This Row],[CustomerName]])</f>
        <v>SUJAY</v>
      </c>
      <c r="L310" t="s">
        <v>542</v>
      </c>
      <c r="M310" t="s">
        <v>832</v>
      </c>
      <c r="N310" t="str">
        <f>TEXT(List_of_Orders_PBI[[#This Row],[Order Date]],"DD-MMM-YYYY")</f>
        <v>13-Dec-2018</v>
      </c>
      <c r="O310" t="str">
        <f>_xlfn.CONCAT(List_of_Orders_PBI[[#This Row],[City]] &amp;" - "&amp; List_of_Orders_PBI[[#This Row],[State]])</f>
        <v>Delhi - Madhya Pradesh</v>
      </c>
    </row>
    <row r="311" spans="1:15" x14ac:dyDescent="0.3">
      <c r="A311" t="s">
        <v>335</v>
      </c>
      <c r="B311">
        <v>125</v>
      </c>
      <c r="C311">
        <v>15</v>
      </c>
      <c r="D311">
        <v>5</v>
      </c>
      <c r="E311" t="s">
        <v>9</v>
      </c>
      <c r="F311" t="s">
        <v>25</v>
      </c>
      <c r="G311">
        <f>Order_Details_PBI[[#This Row],[Profit]]/Order_Details_PBI[[#This Row],[Amount]]</f>
        <v>0.12</v>
      </c>
      <c r="H311" t="str">
        <f>IF(Order_Details_PBI[[#This Row],[Profit Margine]]&lt;0," Loss",IF(Order_Details_PBI[[#This Row],[Profit Margine]]=0," Break-Even","Profit"))</f>
        <v>Profit</v>
      </c>
      <c r="I311" s="2">
        <v>43448</v>
      </c>
      <c r="J311" t="s">
        <v>838</v>
      </c>
      <c r="K311" t="str">
        <f>UPPER(List_of_Orders_PBI[[#This Row],[CustomerName]])</f>
        <v>JAY</v>
      </c>
      <c r="L311" t="s">
        <v>832</v>
      </c>
      <c r="M311" t="s">
        <v>832</v>
      </c>
      <c r="N311" t="str">
        <f>TEXT(List_of_Orders_PBI[[#This Row],[Order Date]],"DD-MMM-YYYY")</f>
        <v>14-Dec-2018</v>
      </c>
      <c r="O311" t="str">
        <f>_xlfn.CONCAT(List_of_Orders_PBI[[#This Row],[City]] &amp;" - "&amp; List_of_Orders_PBI[[#This Row],[State]])</f>
        <v>Delhi - Delhi</v>
      </c>
    </row>
    <row r="312" spans="1:15" x14ac:dyDescent="0.3">
      <c r="A312" t="s">
        <v>336</v>
      </c>
      <c r="B312">
        <v>40</v>
      </c>
      <c r="C312">
        <v>15</v>
      </c>
      <c r="D312">
        <v>1</v>
      </c>
      <c r="E312" t="s">
        <v>9</v>
      </c>
      <c r="F312" t="s">
        <v>20</v>
      </c>
      <c r="G312">
        <f>Order_Details_PBI[[#This Row],[Profit]]/Order_Details_PBI[[#This Row],[Amount]]</f>
        <v>0.375</v>
      </c>
      <c r="H312" t="str">
        <f>IF(Order_Details_PBI[[#This Row],[Profit Margine]]&lt;0," Loss",IF(Order_Details_PBI[[#This Row],[Profit Margine]]=0," Break-Even","Profit"))</f>
        <v>Profit</v>
      </c>
      <c r="I312" s="2">
        <v>43449</v>
      </c>
      <c r="J312" t="s">
        <v>839</v>
      </c>
      <c r="K312" t="str">
        <f>UPPER(List_of_Orders_PBI[[#This Row],[CustomerName]])</f>
        <v>PHALGUNI</v>
      </c>
      <c r="L312" t="s">
        <v>542</v>
      </c>
      <c r="M312" t="s">
        <v>543</v>
      </c>
      <c r="N312" t="str">
        <f>TEXT(List_of_Orders_PBI[[#This Row],[Order Date]],"DD-MMM-YYYY")</f>
        <v>15-Dec-2018</v>
      </c>
      <c r="O312" t="str">
        <f>_xlfn.CONCAT(List_of_Orders_PBI[[#This Row],[City]] &amp;" - "&amp; List_of_Orders_PBI[[#This Row],[State]])</f>
        <v>Bhopal - Madhya Pradesh</v>
      </c>
    </row>
    <row r="313" spans="1:15" x14ac:dyDescent="0.3">
      <c r="A313" t="s">
        <v>337</v>
      </c>
      <c r="B313">
        <v>102</v>
      </c>
      <c r="C313">
        <v>11</v>
      </c>
      <c r="D313">
        <v>6</v>
      </c>
      <c r="E313" t="s">
        <v>9</v>
      </c>
      <c r="F313" t="s">
        <v>22</v>
      </c>
      <c r="G313">
        <f>Order_Details_PBI[[#This Row],[Profit]]/Order_Details_PBI[[#This Row],[Amount]]</f>
        <v>0.10784313725490197</v>
      </c>
      <c r="H313" t="str">
        <f>IF(Order_Details_PBI[[#This Row],[Profit Margine]]&lt;0," Loss",IF(Order_Details_PBI[[#This Row],[Profit Margine]]=0," Break-Even","Profit"))</f>
        <v>Profit</v>
      </c>
      <c r="I313" s="2">
        <v>43450</v>
      </c>
      <c r="J313" t="s">
        <v>840</v>
      </c>
      <c r="K313" t="str">
        <f>UPPER(List_of_Orders_PBI[[#This Row],[CustomerName]])</f>
        <v>PREKSHA</v>
      </c>
      <c r="L313" t="s">
        <v>832</v>
      </c>
      <c r="M313" t="s">
        <v>832</v>
      </c>
      <c r="N313" t="str">
        <f>TEXT(List_of_Orders_PBI[[#This Row],[Order Date]],"DD-MMM-YYYY")</f>
        <v>16-Dec-2018</v>
      </c>
      <c r="O313" t="str">
        <f>_xlfn.CONCAT(List_of_Orders_PBI[[#This Row],[City]] &amp;" - "&amp; List_of_Orders_PBI[[#This Row],[State]])</f>
        <v>Delhi - Delhi</v>
      </c>
    </row>
    <row r="314" spans="1:15" x14ac:dyDescent="0.3">
      <c r="A314" t="s">
        <v>338</v>
      </c>
      <c r="B314">
        <v>103</v>
      </c>
      <c r="C314">
        <v>21</v>
      </c>
      <c r="D314">
        <v>7</v>
      </c>
      <c r="E314" t="s">
        <v>9</v>
      </c>
      <c r="F314" t="s">
        <v>10</v>
      </c>
      <c r="G314">
        <f>Order_Details_PBI[[#This Row],[Profit]]/Order_Details_PBI[[#This Row],[Amount]]</f>
        <v>0.20388349514563106</v>
      </c>
      <c r="H314" t="str">
        <f>IF(Order_Details_PBI[[#This Row],[Profit Margine]]&lt;0," Loss",IF(Order_Details_PBI[[#This Row],[Profit Margine]]=0," Break-Even","Profit"))</f>
        <v>Profit</v>
      </c>
      <c r="I314" s="2">
        <v>43451</v>
      </c>
      <c r="J314" t="s">
        <v>841</v>
      </c>
      <c r="K314" t="str">
        <f>UPPER(List_of_Orders_PBI[[#This Row],[CustomerName]])</f>
        <v>GEETANJALI</v>
      </c>
      <c r="L314" t="s">
        <v>542</v>
      </c>
      <c r="M314" t="s">
        <v>832</v>
      </c>
      <c r="N314" t="str">
        <f>TEXT(List_of_Orders_PBI[[#This Row],[Order Date]],"DD-MMM-YYYY")</f>
        <v>17-Dec-2018</v>
      </c>
      <c r="O314" t="str">
        <f>_xlfn.CONCAT(List_of_Orders_PBI[[#This Row],[City]] &amp;" - "&amp; List_of_Orders_PBI[[#This Row],[State]])</f>
        <v>Delhi - Madhya Pradesh</v>
      </c>
    </row>
    <row r="315" spans="1:15" x14ac:dyDescent="0.3">
      <c r="A315" t="s">
        <v>339</v>
      </c>
      <c r="B315">
        <v>460</v>
      </c>
      <c r="C315">
        <v>143</v>
      </c>
      <c r="D315">
        <v>3</v>
      </c>
      <c r="E315" t="s">
        <v>7</v>
      </c>
      <c r="F315" t="s">
        <v>19</v>
      </c>
      <c r="G315">
        <f>Order_Details_PBI[[#This Row],[Profit]]/Order_Details_PBI[[#This Row],[Amount]]</f>
        <v>0.31086956521739129</v>
      </c>
      <c r="H315" t="str">
        <f>IF(Order_Details_PBI[[#This Row],[Profit Margine]]&lt;0," Loss",IF(Order_Details_PBI[[#This Row],[Profit Margine]]=0," Break-Even","Profit"))</f>
        <v>Profit</v>
      </c>
      <c r="I315" s="2">
        <v>43452</v>
      </c>
      <c r="J315" t="s">
        <v>842</v>
      </c>
      <c r="K315" t="str">
        <f>UPPER(List_of_Orders_PBI[[#This Row],[CustomerName]])</f>
        <v>KAJAL</v>
      </c>
      <c r="L315" t="s">
        <v>832</v>
      </c>
      <c r="M315" t="s">
        <v>832</v>
      </c>
      <c r="N315" t="str">
        <f>TEXT(List_of_Orders_PBI[[#This Row],[Order Date]],"DD-MMM-YYYY")</f>
        <v>18-Dec-2018</v>
      </c>
      <c r="O315" t="str">
        <f>_xlfn.CONCAT(List_of_Orders_PBI[[#This Row],[City]] &amp;" - "&amp; List_of_Orders_PBI[[#This Row],[State]])</f>
        <v>Delhi - Delhi</v>
      </c>
    </row>
    <row r="316" spans="1:15" x14ac:dyDescent="0.3">
      <c r="A316" t="s">
        <v>340</v>
      </c>
      <c r="B316">
        <v>277</v>
      </c>
      <c r="C316">
        <v>3</v>
      </c>
      <c r="D316">
        <v>1</v>
      </c>
      <c r="E316" t="s">
        <v>12</v>
      </c>
      <c r="F316" t="s">
        <v>13</v>
      </c>
      <c r="G316">
        <f>Order_Details_PBI[[#This Row],[Profit]]/Order_Details_PBI[[#This Row],[Amount]]</f>
        <v>1.0830324909747292E-2</v>
      </c>
      <c r="H316" t="str">
        <f>IF(Order_Details_PBI[[#This Row],[Profit Margine]]&lt;0," Loss",IF(Order_Details_PBI[[#This Row],[Profit Margine]]=0," Break-Even","Profit"))</f>
        <v>Profit</v>
      </c>
      <c r="I316" s="2">
        <v>43453</v>
      </c>
      <c r="J316" t="s">
        <v>843</v>
      </c>
      <c r="K316" t="str">
        <f>UPPER(List_of_Orders_PBI[[#This Row],[CustomerName]])</f>
        <v>SUKRUTA</v>
      </c>
      <c r="L316" t="s">
        <v>569</v>
      </c>
      <c r="M316" t="s">
        <v>814</v>
      </c>
      <c r="N316" t="str">
        <f>TEXT(List_of_Orders_PBI[[#This Row],[Order Date]],"DD-MMM-YYYY")</f>
        <v>19-Dec-2018</v>
      </c>
      <c r="O316" t="str">
        <f>_xlfn.CONCAT(List_of_Orders_PBI[[#This Row],[City]] &amp;" - "&amp; List_of_Orders_PBI[[#This Row],[State]])</f>
        <v>Amritsar - Punjab</v>
      </c>
    </row>
    <row r="317" spans="1:15" x14ac:dyDescent="0.3">
      <c r="A317" t="s">
        <v>341</v>
      </c>
      <c r="B317">
        <v>80</v>
      </c>
      <c r="C317">
        <v>26</v>
      </c>
      <c r="D317">
        <v>9</v>
      </c>
      <c r="E317" t="s">
        <v>9</v>
      </c>
      <c r="F317" t="s">
        <v>53</v>
      </c>
      <c r="G317">
        <f>Order_Details_PBI[[#This Row],[Profit]]/Order_Details_PBI[[#This Row],[Amount]]</f>
        <v>0.32500000000000001</v>
      </c>
      <c r="H317" t="str">
        <f>IF(Order_Details_PBI[[#This Row],[Profit Margine]]&lt;0," Loss",IF(Order_Details_PBI[[#This Row],[Profit Margine]]=0," Break-Even","Profit"))</f>
        <v>Profit</v>
      </c>
      <c r="I317" s="2">
        <v>43454</v>
      </c>
      <c r="J317" t="s">
        <v>844</v>
      </c>
      <c r="K317" t="str">
        <f>UPPER(List_of_Orders_PBI[[#This Row],[CustomerName]])</f>
        <v>UTKARSH</v>
      </c>
      <c r="L317" t="s">
        <v>536</v>
      </c>
      <c r="M317" t="s">
        <v>807</v>
      </c>
      <c r="N317" t="str">
        <f>TEXT(List_of_Orders_PBI[[#This Row],[Order Date]],"DD-MMM-YYYY")</f>
        <v>20-Dec-2018</v>
      </c>
      <c r="O317" t="str">
        <f>_xlfn.CONCAT(List_of_Orders_PBI[[#This Row],[City]] &amp;" - "&amp; List_of_Orders_PBI[[#This Row],[State]])</f>
        <v>Surat - Gujarat</v>
      </c>
    </row>
    <row r="318" spans="1:15" x14ac:dyDescent="0.3">
      <c r="A318" t="s">
        <v>342</v>
      </c>
      <c r="B318">
        <v>100</v>
      </c>
      <c r="C318">
        <v>12</v>
      </c>
      <c r="D318">
        <v>2</v>
      </c>
      <c r="E318" t="s">
        <v>9</v>
      </c>
      <c r="F318" t="s">
        <v>22</v>
      </c>
      <c r="G318">
        <f>Order_Details_PBI[[#This Row],[Profit]]/Order_Details_PBI[[#This Row],[Amount]]</f>
        <v>0.12</v>
      </c>
      <c r="H318" t="str">
        <f>IF(Order_Details_PBI[[#This Row],[Profit Margine]]&lt;0," Loss",IF(Order_Details_PBI[[#This Row],[Profit Margine]]=0," Break-Even","Profit"))</f>
        <v>Profit</v>
      </c>
      <c r="I318" s="2">
        <v>43455</v>
      </c>
      <c r="J318" t="s">
        <v>604</v>
      </c>
      <c r="K318" t="str">
        <f>UPPER(List_of_Orders_PBI[[#This Row],[CustomerName]])</f>
        <v>SANJAY</v>
      </c>
      <c r="L318" t="s">
        <v>539</v>
      </c>
      <c r="M318" t="s">
        <v>595</v>
      </c>
      <c r="N318" t="str">
        <f>TEXT(List_of_Orders_PBI[[#This Row],[Order Date]],"DD-MMM-YYYY")</f>
        <v>21-Dec-2018</v>
      </c>
      <c r="O318" t="str">
        <f>_xlfn.CONCAT(List_of_Orders_PBI[[#This Row],[City]] &amp;" - "&amp; List_of_Orders_PBI[[#This Row],[State]])</f>
        <v>Mumbai - Maharashtra</v>
      </c>
    </row>
    <row r="319" spans="1:15" x14ac:dyDescent="0.3">
      <c r="A319" t="s">
        <v>343</v>
      </c>
      <c r="B319">
        <v>244</v>
      </c>
      <c r="C319">
        <v>122</v>
      </c>
      <c r="D319">
        <v>5</v>
      </c>
      <c r="E319" t="s">
        <v>7</v>
      </c>
      <c r="F319" t="s">
        <v>34</v>
      </c>
      <c r="G319">
        <f>Order_Details_PBI[[#This Row],[Profit]]/Order_Details_PBI[[#This Row],[Amount]]</f>
        <v>0.5</v>
      </c>
      <c r="H319" t="str">
        <f>IF(Order_Details_PBI[[#This Row],[Profit Margine]]&lt;0," Loss",IF(Order_Details_PBI[[#This Row],[Profit Margine]]=0," Break-Even","Profit"))</f>
        <v>Profit</v>
      </c>
      <c r="I319" s="2">
        <v>43456</v>
      </c>
      <c r="J319" t="s">
        <v>845</v>
      </c>
      <c r="K319" t="str">
        <f>UPPER(List_of_Orders_PBI[[#This Row],[CustomerName]])</f>
        <v>KARANDEEP</v>
      </c>
      <c r="L319" t="s">
        <v>542</v>
      </c>
      <c r="M319" t="s">
        <v>597</v>
      </c>
      <c r="N319" t="str">
        <f>TEXT(List_of_Orders_PBI[[#This Row],[Order Date]],"DD-MMM-YYYY")</f>
        <v>22-Dec-2018</v>
      </c>
      <c r="O319" t="str">
        <f>_xlfn.CONCAT(List_of_Orders_PBI[[#This Row],[City]] &amp;" - "&amp; List_of_Orders_PBI[[#This Row],[State]])</f>
        <v>Indore - Madhya Pradesh</v>
      </c>
    </row>
    <row r="320" spans="1:15" x14ac:dyDescent="0.3">
      <c r="A320" t="s">
        <v>344</v>
      </c>
      <c r="B320">
        <v>28</v>
      </c>
      <c r="C320">
        <v>4</v>
      </c>
      <c r="D320">
        <v>1</v>
      </c>
      <c r="E320" t="s">
        <v>9</v>
      </c>
      <c r="F320" t="s">
        <v>22</v>
      </c>
      <c r="G320">
        <f>Order_Details_PBI[[#This Row],[Profit]]/Order_Details_PBI[[#This Row],[Amount]]</f>
        <v>0.14285714285714285</v>
      </c>
      <c r="H320" t="str">
        <f>IF(Order_Details_PBI[[#This Row],[Profit Margine]]&lt;0," Loss",IF(Order_Details_PBI[[#This Row],[Profit Margine]]=0," Break-Even","Profit"))</f>
        <v>Profit</v>
      </c>
      <c r="I320" s="2">
        <v>43457</v>
      </c>
      <c r="J320" t="s">
        <v>846</v>
      </c>
      <c r="K320" t="str">
        <f>UPPER(List_of_Orders_PBI[[#This Row],[CustomerName]])</f>
        <v>NEHA</v>
      </c>
      <c r="L320" t="s">
        <v>545</v>
      </c>
      <c r="M320" t="s">
        <v>810</v>
      </c>
      <c r="N320" t="str">
        <f>TEXT(List_of_Orders_PBI[[#This Row],[Order Date]],"DD-MMM-YYYY")</f>
        <v>23-Dec-2018</v>
      </c>
      <c r="O320" t="str">
        <f>_xlfn.CONCAT(List_of_Orders_PBI[[#This Row],[City]] &amp;" - "&amp; List_of_Orders_PBI[[#This Row],[State]])</f>
        <v>Udaipur - Rajasthan</v>
      </c>
    </row>
    <row r="321" spans="1:15" x14ac:dyDescent="0.3">
      <c r="A321" t="s">
        <v>345</v>
      </c>
      <c r="B321">
        <v>100</v>
      </c>
      <c r="C321">
        <v>7</v>
      </c>
      <c r="D321">
        <v>2</v>
      </c>
      <c r="E321" t="s">
        <v>9</v>
      </c>
      <c r="F321" t="s">
        <v>22</v>
      </c>
      <c r="G321">
        <f>Order_Details_PBI[[#This Row],[Profit]]/Order_Details_PBI[[#This Row],[Amount]]</f>
        <v>7.0000000000000007E-2</v>
      </c>
      <c r="H321" t="str">
        <f>IF(Order_Details_PBI[[#This Row],[Profit Margine]]&lt;0," Loss",IF(Order_Details_PBI[[#This Row],[Profit Margine]]=0," Break-Even","Profit"))</f>
        <v>Profit</v>
      </c>
      <c r="I321" s="2">
        <v>43458</v>
      </c>
      <c r="J321" t="s">
        <v>847</v>
      </c>
      <c r="K321" t="str">
        <f>UPPER(List_of_Orders_PBI[[#This Row],[CustomerName]])</f>
        <v>JAYANTI</v>
      </c>
      <c r="L321" t="s">
        <v>560</v>
      </c>
      <c r="M321" t="s">
        <v>812</v>
      </c>
      <c r="N321" t="str">
        <f>TEXT(List_of_Orders_PBI[[#This Row],[Order Date]],"DD-MMM-YYYY")</f>
        <v>24-Dec-2018</v>
      </c>
      <c r="O321" t="str">
        <f>_xlfn.CONCAT(List_of_Orders_PBI[[#This Row],[City]] &amp;" - "&amp; List_of_Orders_PBI[[#This Row],[State]])</f>
        <v>Allahabad - Uttar Pradesh</v>
      </c>
    </row>
    <row r="322" spans="1:15" x14ac:dyDescent="0.3">
      <c r="A322" t="s">
        <v>346</v>
      </c>
      <c r="B322">
        <v>170</v>
      </c>
      <c r="C322">
        <v>19</v>
      </c>
      <c r="D322">
        <v>5</v>
      </c>
      <c r="E322" t="s">
        <v>9</v>
      </c>
      <c r="F322" t="s">
        <v>22</v>
      </c>
      <c r="G322">
        <f>Order_Details_PBI[[#This Row],[Profit]]/Order_Details_PBI[[#This Row],[Amount]]</f>
        <v>0.11176470588235295</v>
      </c>
      <c r="H322" t="str">
        <f>IF(Order_Details_PBI[[#This Row],[Profit Margine]]&lt;0," Loss",IF(Order_Details_PBI[[#This Row],[Profit Margine]]=0," Break-Even","Profit"))</f>
        <v>Profit</v>
      </c>
      <c r="I322" s="2">
        <v>43459</v>
      </c>
      <c r="J322" t="s">
        <v>848</v>
      </c>
      <c r="K322" t="str">
        <f>UPPER(List_of_Orders_PBI[[#This Row],[CustomerName]])</f>
        <v>SANDRA</v>
      </c>
      <c r="L322" t="s">
        <v>569</v>
      </c>
      <c r="M322" t="s">
        <v>814</v>
      </c>
      <c r="N322" t="str">
        <f>TEXT(List_of_Orders_PBI[[#This Row],[Order Date]],"DD-MMM-YYYY")</f>
        <v>25-Dec-2018</v>
      </c>
      <c r="O322" t="str">
        <f>_xlfn.CONCAT(List_of_Orders_PBI[[#This Row],[City]] &amp;" - "&amp; List_of_Orders_PBI[[#This Row],[State]])</f>
        <v>Amritsar - Punjab</v>
      </c>
    </row>
    <row r="323" spans="1:15" x14ac:dyDescent="0.3">
      <c r="A323" t="s">
        <v>347</v>
      </c>
      <c r="B323">
        <v>52</v>
      </c>
      <c r="C323">
        <v>18</v>
      </c>
      <c r="D323">
        <v>2</v>
      </c>
      <c r="E323" t="s">
        <v>9</v>
      </c>
      <c r="F323" t="s">
        <v>10</v>
      </c>
      <c r="G323">
        <f>Order_Details_PBI[[#This Row],[Profit]]/Order_Details_PBI[[#This Row],[Amount]]</f>
        <v>0.34615384615384615</v>
      </c>
      <c r="H323" t="str">
        <f>IF(Order_Details_PBI[[#This Row],[Profit Margine]]&lt;0," Loss",IF(Order_Details_PBI[[#This Row],[Profit Margine]]=0," Break-Even","Profit"))</f>
        <v>Profit</v>
      </c>
      <c r="I323" s="2">
        <v>43460</v>
      </c>
      <c r="J323" t="s">
        <v>849</v>
      </c>
      <c r="K323" t="str">
        <f>UPPER(List_of_Orders_PBI[[#This Row],[CustomerName]])</f>
        <v>AKSHATA</v>
      </c>
      <c r="L323" t="s">
        <v>536</v>
      </c>
      <c r="M323" t="s">
        <v>807</v>
      </c>
      <c r="N323" t="str">
        <f>TEXT(List_of_Orders_PBI[[#This Row],[Order Date]],"DD-MMM-YYYY")</f>
        <v>26-Dec-2018</v>
      </c>
      <c r="O323" t="str">
        <f>_xlfn.CONCAT(List_of_Orders_PBI[[#This Row],[City]] &amp;" - "&amp; List_of_Orders_PBI[[#This Row],[State]])</f>
        <v>Surat - Gujarat</v>
      </c>
    </row>
    <row r="324" spans="1:15" x14ac:dyDescent="0.3">
      <c r="A324" t="s">
        <v>348</v>
      </c>
      <c r="B324">
        <v>226</v>
      </c>
      <c r="C324">
        <v>58</v>
      </c>
      <c r="D324">
        <v>3</v>
      </c>
      <c r="E324" t="s">
        <v>12</v>
      </c>
      <c r="F324" t="s">
        <v>33</v>
      </c>
      <c r="G324">
        <f>Order_Details_PBI[[#This Row],[Profit]]/Order_Details_PBI[[#This Row],[Amount]]</f>
        <v>0.25663716814159293</v>
      </c>
      <c r="H324" t="str">
        <f>IF(Order_Details_PBI[[#This Row],[Profit Margine]]&lt;0," Loss",IF(Order_Details_PBI[[#This Row],[Profit Margine]]=0," Break-Even","Profit"))</f>
        <v>Profit</v>
      </c>
      <c r="I324" s="2">
        <v>43461</v>
      </c>
      <c r="J324" t="s">
        <v>850</v>
      </c>
      <c r="K324" t="str">
        <f>UPPER(List_of_Orders_PBI[[#This Row],[CustomerName]])</f>
        <v>VISHAKHA</v>
      </c>
      <c r="L324" t="s">
        <v>539</v>
      </c>
      <c r="M324" t="s">
        <v>595</v>
      </c>
      <c r="N324" t="str">
        <f>TEXT(List_of_Orders_PBI[[#This Row],[Order Date]],"DD-MMM-YYYY")</f>
        <v>27-Dec-2018</v>
      </c>
      <c r="O324" t="str">
        <f>_xlfn.CONCAT(List_of_Orders_PBI[[#This Row],[City]] &amp;" - "&amp; List_of_Orders_PBI[[#This Row],[State]])</f>
        <v>Mumbai - Maharashtra</v>
      </c>
    </row>
    <row r="325" spans="1:15" x14ac:dyDescent="0.3">
      <c r="A325" t="s">
        <v>349</v>
      </c>
      <c r="B325">
        <v>148</v>
      </c>
      <c r="C325">
        <v>54</v>
      </c>
      <c r="D325">
        <v>2</v>
      </c>
      <c r="E325" t="s">
        <v>7</v>
      </c>
      <c r="F325" t="s">
        <v>19</v>
      </c>
      <c r="G325">
        <f>Order_Details_PBI[[#This Row],[Profit]]/Order_Details_PBI[[#This Row],[Amount]]</f>
        <v>0.36486486486486486</v>
      </c>
      <c r="H325" t="str">
        <f>IF(Order_Details_PBI[[#This Row],[Profit Margine]]&lt;0," Loss",IF(Order_Details_PBI[[#This Row],[Profit Margine]]=0," Break-Even","Profit"))</f>
        <v>Profit</v>
      </c>
      <c r="I325" s="2">
        <v>43462</v>
      </c>
      <c r="J325" t="s">
        <v>851</v>
      </c>
      <c r="K325" t="str">
        <f>UPPER(List_of_Orders_PBI[[#This Row],[CustomerName]])</f>
        <v>PRAJAKTA</v>
      </c>
      <c r="L325" t="s">
        <v>551</v>
      </c>
      <c r="M325" t="s">
        <v>552</v>
      </c>
      <c r="N325" t="str">
        <f>TEXT(List_of_Orders_PBI[[#This Row],[Order Date]],"DD-MMM-YYYY")</f>
        <v>28-Dec-2018</v>
      </c>
      <c r="O325" t="str">
        <f>_xlfn.CONCAT(List_of_Orders_PBI[[#This Row],[City]] &amp;" - "&amp; List_of_Orders_PBI[[#This Row],[State]])</f>
        <v>Bangalore - Karnataka</v>
      </c>
    </row>
    <row r="326" spans="1:15" x14ac:dyDescent="0.3">
      <c r="A326" t="s">
        <v>350</v>
      </c>
      <c r="B326">
        <v>27</v>
      </c>
      <c r="C326">
        <v>12</v>
      </c>
      <c r="D326">
        <v>1</v>
      </c>
      <c r="E326" t="s">
        <v>9</v>
      </c>
      <c r="F326" t="s">
        <v>10</v>
      </c>
      <c r="G326">
        <f>Order_Details_PBI[[#This Row],[Profit]]/Order_Details_PBI[[#This Row],[Amount]]</f>
        <v>0.44444444444444442</v>
      </c>
      <c r="H326" t="str">
        <f>IF(Order_Details_PBI[[#This Row],[Profit Margine]]&lt;0," Loss",IF(Order_Details_PBI[[#This Row],[Profit Margine]]=0," Break-Even","Profit"))</f>
        <v>Profit</v>
      </c>
      <c r="I326" s="2">
        <v>43463</v>
      </c>
      <c r="J326" t="s">
        <v>630</v>
      </c>
      <c r="K326" t="str">
        <f>UPPER(List_of_Orders_PBI[[#This Row],[CustomerName]])</f>
        <v>SHRUTI</v>
      </c>
      <c r="L326" t="s">
        <v>539</v>
      </c>
      <c r="M326" t="s">
        <v>595</v>
      </c>
      <c r="N326" t="str">
        <f>TEXT(List_of_Orders_PBI[[#This Row],[Order Date]],"DD-MMM-YYYY")</f>
        <v>29-Dec-2018</v>
      </c>
      <c r="O326" t="str">
        <f>_xlfn.CONCAT(List_of_Orders_PBI[[#This Row],[City]] &amp;" - "&amp; List_of_Orders_PBI[[#This Row],[State]])</f>
        <v>Mumbai - Maharashtra</v>
      </c>
    </row>
    <row r="327" spans="1:15" x14ac:dyDescent="0.3">
      <c r="A327" t="s">
        <v>351</v>
      </c>
      <c r="B327">
        <v>57</v>
      </c>
      <c r="C327">
        <v>6</v>
      </c>
      <c r="D327">
        <v>5</v>
      </c>
      <c r="E327" t="s">
        <v>9</v>
      </c>
      <c r="F327" t="s">
        <v>27</v>
      </c>
      <c r="G327">
        <f>Order_Details_PBI[[#This Row],[Profit]]/Order_Details_PBI[[#This Row],[Amount]]</f>
        <v>0.10526315789473684</v>
      </c>
      <c r="H327" t="str">
        <f>IF(Order_Details_PBI[[#This Row],[Profit Margine]]&lt;0," Loss",IF(Order_Details_PBI[[#This Row],[Profit Margine]]=0," Break-Even","Profit"))</f>
        <v>Profit</v>
      </c>
      <c r="I327" s="2">
        <v>43464</v>
      </c>
      <c r="J327" t="s">
        <v>852</v>
      </c>
      <c r="K327" t="str">
        <f>UPPER(List_of_Orders_PBI[[#This Row],[CustomerName]])</f>
        <v>DIPALI</v>
      </c>
      <c r="L327" t="s">
        <v>542</v>
      </c>
      <c r="M327" t="s">
        <v>597</v>
      </c>
      <c r="N327" t="str">
        <f>TEXT(List_of_Orders_PBI[[#This Row],[Order Date]],"DD-MMM-YYYY")</f>
        <v>30-Dec-2018</v>
      </c>
      <c r="O327" t="str">
        <f>_xlfn.CONCAT(List_of_Orders_PBI[[#This Row],[City]] &amp;" - "&amp; List_of_Orders_PBI[[#This Row],[State]])</f>
        <v>Indore - Madhya Pradesh</v>
      </c>
    </row>
    <row r="328" spans="1:15" x14ac:dyDescent="0.3">
      <c r="A328" t="s">
        <v>352</v>
      </c>
      <c r="B328">
        <v>200</v>
      </c>
      <c r="C328">
        <v>7</v>
      </c>
      <c r="D328">
        <v>4</v>
      </c>
      <c r="E328" t="s">
        <v>12</v>
      </c>
      <c r="F328" t="s">
        <v>13</v>
      </c>
      <c r="G328">
        <f>Order_Details_PBI[[#This Row],[Profit]]/Order_Details_PBI[[#This Row],[Amount]]</f>
        <v>3.5000000000000003E-2</v>
      </c>
      <c r="H328" t="str">
        <f>IF(Order_Details_PBI[[#This Row],[Profit Margine]]&lt;0," Loss",IF(Order_Details_PBI[[#This Row],[Profit Margine]]=0," Break-Even","Profit"))</f>
        <v>Profit</v>
      </c>
      <c r="I328" s="2">
        <v>43465</v>
      </c>
      <c r="J328" t="s">
        <v>645</v>
      </c>
      <c r="K328" t="str">
        <f>UPPER(List_of_Orders_PBI[[#This Row],[CustomerName]])</f>
        <v>SHREYA</v>
      </c>
      <c r="L328" t="s">
        <v>560</v>
      </c>
      <c r="M328" t="s">
        <v>561</v>
      </c>
      <c r="N328" t="str">
        <f>TEXT(List_of_Orders_PBI[[#This Row],[Order Date]],"DD-MMM-YYYY")</f>
        <v>31-Dec-2018</v>
      </c>
      <c r="O328" t="str">
        <f>_xlfn.CONCAT(List_of_Orders_PBI[[#This Row],[City]] &amp;" - "&amp; List_of_Orders_PBI[[#This Row],[State]])</f>
        <v>Lucknow - Uttar Pradesh</v>
      </c>
    </row>
    <row r="329" spans="1:15" x14ac:dyDescent="0.3">
      <c r="A329" t="s">
        <v>353</v>
      </c>
      <c r="B329">
        <v>25</v>
      </c>
      <c r="C329">
        <v>10</v>
      </c>
      <c r="D329">
        <v>1</v>
      </c>
      <c r="E329" t="s">
        <v>7</v>
      </c>
      <c r="F329" t="s">
        <v>34</v>
      </c>
      <c r="G329">
        <f>Order_Details_PBI[[#This Row],[Profit]]/Order_Details_PBI[[#This Row],[Amount]]</f>
        <v>0.4</v>
      </c>
      <c r="H329" t="str">
        <f>IF(Order_Details_PBI[[#This Row],[Profit Margine]]&lt;0," Loss",IF(Order_Details_PBI[[#This Row],[Profit Margine]]=0," Break-Even","Profit"))</f>
        <v>Profit</v>
      </c>
      <c r="I329" s="2">
        <v>43466</v>
      </c>
      <c r="J329" t="s">
        <v>853</v>
      </c>
      <c r="K329" t="str">
        <f>UPPER(List_of_Orders_PBI[[#This Row],[CustomerName]])</f>
        <v>SMRITI</v>
      </c>
      <c r="L329" t="s">
        <v>563</v>
      </c>
      <c r="M329" t="s">
        <v>564</v>
      </c>
      <c r="N329" t="str">
        <f>TEXT(List_of_Orders_PBI[[#This Row],[Order Date]],"DD-MMM-YYYY")</f>
        <v>01-Jan-2019</v>
      </c>
      <c r="O329" t="str">
        <f>_xlfn.CONCAT(List_of_Orders_PBI[[#This Row],[City]] &amp;" - "&amp; List_of_Orders_PBI[[#This Row],[State]])</f>
        <v>Patna - Bihar</v>
      </c>
    </row>
    <row r="330" spans="1:15" x14ac:dyDescent="0.3">
      <c r="A330" t="s">
        <v>354</v>
      </c>
      <c r="B330">
        <v>1308</v>
      </c>
      <c r="C330">
        <v>536</v>
      </c>
      <c r="D330">
        <v>3</v>
      </c>
      <c r="E330" t="s">
        <v>7</v>
      </c>
      <c r="F330" t="s">
        <v>8</v>
      </c>
      <c r="G330">
        <f>Order_Details_PBI[[#This Row],[Profit]]/Order_Details_PBI[[#This Row],[Amount]]</f>
        <v>0.40978593272171254</v>
      </c>
      <c r="H330" t="str">
        <f>IF(Order_Details_PBI[[#This Row],[Profit Margine]]&lt;0," Loss",IF(Order_Details_PBI[[#This Row],[Profit Margine]]=0," Break-Even","Profit"))</f>
        <v>Profit</v>
      </c>
      <c r="I330" s="2">
        <v>43467</v>
      </c>
      <c r="J330" t="s">
        <v>854</v>
      </c>
      <c r="K330" t="str">
        <f>UPPER(List_of_Orders_PBI[[#This Row],[CustomerName]])</f>
        <v>GIRASE</v>
      </c>
      <c r="L330" t="s">
        <v>566</v>
      </c>
      <c r="M330" t="s">
        <v>567</v>
      </c>
      <c r="N330" t="str">
        <f>TEXT(List_of_Orders_PBI[[#This Row],[Order Date]],"DD-MMM-YYYY")</f>
        <v>02-Jan-2019</v>
      </c>
      <c r="O330" t="str">
        <f>_xlfn.CONCAT(List_of_Orders_PBI[[#This Row],[City]] &amp;" - "&amp; List_of_Orders_PBI[[#This Row],[State]])</f>
        <v xml:space="preserve">Thiruvananthapuram - Kerala </v>
      </c>
    </row>
    <row r="331" spans="1:15" x14ac:dyDescent="0.3">
      <c r="A331" t="s">
        <v>355</v>
      </c>
      <c r="B331">
        <v>40</v>
      </c>
      <c r="C331">
        <v>13</v>
      </c>
      <c r="D331">
        <v>3</v>
      </c>
      <c r="E331" t="s">
        <v>9</v>
      </c>
      <c r="F331" t="s">
        <v>22</v>
      </c>
      <c r="G331">
        <f>Order_Details_PBI[[#This Row],[Profit]]/Order_Details_PBI[[#This Row],[Amount]]</f>
        <v>0.32500000000000001</v>
      </c>
      <c r="H331" t="str">
        <f>IF(Order_Details_PBI[[#This Row],[Profit Margine]]&lt;0," Loss",IF(Order_Details_PBI[[#This Row],[Profit Margine]]=0," Break-Even","Profit"))</f>
        <v>Profit</v>
      </c>
      <c r="I331" s="2">
        <v>43468</v>
      </c>
      <c r="J331" t="s">
        <v>855</v>
      </c>
      <c r="K331" t="str">
        <f>UPPER(List_of_Orders_PBI[[#This Row],[CustomerName]])</f>
        <v>MONICA</v>
      </c>
      <c r="L331" t="s">
        <v>569</v>
      </c>
      <c r="M331" t="s">
        <v>570</v>
      </c>
      <c r="N331" t="str">
        <f>TEXT(List_of_Orders_PBI[[#This Row],[Order Date]],"DD-MMM-YYYY")</f>
        <v>03-Jan-2019</v>
      </c>
      <c r="O331" t="str">
        <f>_xlfn.CONCAT(List_of_Orders_PBI[[#This Row],[City]] &amp;" - "&amp; List_of_Orders_PBI[[#This Row],[State]])</f>
        <v>Chandigarh - Punjab</v>
      </c>
    </row>
    <row r="332" spans="1:15" x14ac:dyDescent="0.3">
      <c r="A332" t="s">
        <v>356</v>
      </c>
      <c r="B332">
        <v>73</v>
      </c>
      <c r="C332">
        <v>-36</v>
      </c>
      <c r="D332">
        <v>3</v>
      </c>
      <c r="E332" t="s">
        <v>7</v>
      </c>
      <c r="F332" t="s">
        <v>19</v>
      </c>
      <c r="G332">
        <f>Order_Details_PBI[[#This Row],[Profit]]/Order_Details_PBI[[#This Row],[Amount]]</f>
        <v>-0.49315068493150682</v>
      </c>
      <c r="H332" t="str">
        <f>IF(Order_Details_PBI[[#This Row],[Profit Margine]]&lt;0," Loss",IF(Order_Details_PBI[[#This Row],[Profit Margine]]=0," Break-Even","Profit"))</f>
        <v xml:space="preserve"> Loss</v>
      </c>
      <c r="I332" s="2">
        <v>43469</v>
      </c>
      <c r="J332" t="s">
        <v>856</v>
      </c>
      <c r="K332" t="str">
        <f>UPPER(List_of_Orders_PBI[[#This Row],[CustomerName]])</f>
        <v>SIDHARTH</v>
      </c>
      <c r="L332" t="s">
        <v>539</v>
      </c>
      <c r="M332" t="s">
        <v>595</v>
      </c>
      <c r="N332" t="str">
        <f>TEXT(List_of_Orders_PBI[[#This Row],[Order Date]],"DD-MMM-YYYY")</f>
        <v>04-Jan-2019</v>
      </c>
      <c r="O332" t="str">
        <f>_xlfn.CONCAT(List_of_Orders_PBI[[#This Row],[City]] &amp;" - "&amp; List_of_Orders_PBI[[#This Row],[State]])</f>
        <v>Mumbai - Maharashtra</v>
      </c>
    </row>
    <row r="333" spans="1:15" x14ac:dyDescent="0.3">
      <c r="A333" t="s">
        <v>357</v>
      </c>
      <c r="B333">
        <v>71</v>
      </c>
      <c r="C333">
        <v>-14</v>
      </c>
      <c r="D333">
        <v>4</v>
      </c>
      <c r="E333" t="s">
        <v>7</v>
      </c>
      <c r="F333" t="s">
        <v>34</v>
      </c>
      <c r="G333">
        <f>Order_Details_PBI[[#This Row],[Profit]]/Order_Details_PBI[[#This Row],[Amount]]</f>
        <v>-0.19718309859154928</v>
      </c>
      <c r="H333" t="str">
        <f>IF(Order_Details_PBI[[#This Row],[Profit Margine]]&lt;0," Loss",IF(Order_Details_PBI[[#This Row],[Profit Margine]]=0," Break-Even","Profit"))</f>
        <v xml:space="preserve"> Loss</v>
      </c>
      <c r="I333" s="2">
        <v>43469</v>
      </c>
      <c r="J333" t="s">
        <v>857</v>
      </c>
      <c r="K333" t="str">
        <f>UPPER(List_of_Orders_PBI[[#This Row],[CustomerName]])</f>
        <v>BHUTEKAR</v>
      </c>
      <c r="L333" t="s">
        <v>542</v>
      </c>
      <c r="M333" t="s">
        <v>597</v>
      </c>
      <c r="N333" t="str">
        <f>TEXT(List_of_Orders_PBI[[#This Row],[Order Date]],"DD-MMM-YYYY")</f>
        <v>04-Jan-2019</v>
      </c>
      <c r="O333" t="str">
        <f>_xlfn.CONCAT(List_of_Orders_PBI[[#This Row],[City]] &amp;" - "&amp; List_of_Orders_PBI[[#This Row],[State]])</f>
        <v>Indore - Madhya Pradesh</v>
      </c>
    </row>
    <row r="334" spans="1:15" x14ac:dyDescent="0.3">
      <c r="A334" t="s">
        <v>358</v>
      </c>
      <c r="B334">
        <v>81</v>
      </c>
      <c r="C334">
        <v>-44</v>
      </c>
      <c r="D334">
        <v>3</v>
      </c>
      <c r="E334" t="s">
        <v>9</v>
      </c>
      <c r="F334" t="s">
        <v>10</v>
      </c>
      <c r="G334">
        <f>Order_Details_PBI[[#This Row],[Profit]]/Order_Details_PBI[[#This Row],[Amount]]</f>
        <v>-0.54320987654320985</v>
      </c>
      <c r="H334" t="str">
        <f>IF(Order_Details_PBI[[#This Row],[Profit Margine]]&lt;0," Loss",IF(Order_Details_PBI[[#This Row],[Profit Margine]]=0," Break-Even","Profit"))</f>
        <v xml:space="preserve"> Loss</v>
      </c>
      <c r="I334" s="2">
        <v>43469</v>
      </c>
      <c r="J334" t="s">
        <v>858</v>
      </c>
      <c r="K334" t="str">
        <f>UPPER(List_of_Orders_PBI[[#This Row],[CustomerName]])</f>
        <v>SHIKHAR</v>
      </c>
      <c r="L334" t="s">
        <v>539</v>
      </c>
      <c r="M334" t="s">
        <v>595</v>
      </c>
      <c r="N334" t="str">
        <f>TEXT(List_of_Orders_PBI[[#This Row],[Order Date]],"DD-MMM-YYYY")</f>
        <v>04-Jan-2019</v>
      </c>
      <c r="O334" t="str">
        <f>_xlfn.CONCAT(List_of_Orders_PBI[[#This Row],[City]] &amp;" - "&amp; List_of_Orders_PBI[[#This Row],[State]])</f>
        <v>Mumbai - Maharashtra</v>
      </c>
    </row>
    <row r="335" spans="1:15" x14ac:dyDescent="0.3">
      <c r="A335" t="s">
        <v>359</v>
      </c>
      <c r="B335">
        <v>105</v>
      </c>
      <c r="C335">
        <v>33</v>
      </c>
      <c r="D335">
        <v>6</v>
      </c>
      <c r="E335" t="s">
        <v>9</v>
      </c>
      <c r="F335" t="s">
        <v>16</v>
      </c>
      <c r="G335">
        <f>Order_Details_PBI[[#This Row],[Profit]]/Order_Details_PBI[[#This Row],[Amount]]</f>
        <v>0.31428571428571428</v>
      </c>
      <c r="H335" t="str">
        <f>IF(Order_Details_PBI[[#This Row],[Profit Margine]]&lt;0," Loss",IF(Order_Details_PBI[[#This Row],[Profit Margine]]=0," Break-Even","Profit"))</f>
        <v>Profit</v>
      </c>
      <c r="I335" s="2">
        <v>43469</v>
      </c>
      <c r="J335" t="s">
        <v>859</v>
      </c>
      <c r="K335" t="str">
        <f>UPPER(List_of_Orders_PBI[[#This Row],[CustomerName]])</f>
        <v>RAHUL</v>
      </c>
      <c r="L335" t="s">
        <v>542</v>
      </c>
      <c r="M335" t="s">
        <v>597</v>
      </c>
      <c r="N335" t="str">
        <f>TEXT(List_of_Orders_PBI[[#This Row],[Order Date]],"DD-MMM-YYYY")</f>
        <v>04-Jan-2019</v>
      </c>
      <c r="O335" t="str">
        <f>_xlfn.CONCAT(List_of_Orders_PBI[[#This Row],[City]] &amp;" - "&amp; List_of_Orders_PBI[[#This Row],[State]])</f>
        <v>Indore - Madhya Pradesh</v>
      </c>
    </row>
    <row r="336" spans="1:15" x14ac:dyDescent="0.3">
      <c r="A336" t="s">
        <v>360</v>
      </c>
      <c r="B336">
        <v>162</v>
      </c>
      <c r="C336">
        <v>20</v>
      </c>
      <c r="D336">
        <v>3</v>
      </c>
      <c r="E336" t="s">
        <v>7</v>
      </c>
      <c r="F336" t="s">
        <v>19</v>
      </c>
      <c r="G336">
        <f>Order_Details_PBI[[#This Row],[Profit]]/Order_Details_PBI[[#This Row],[Amount]]</f>
        <v>0.12345679012345678</v>
      </c>
      <c r="H336" t="str">
        <f>IF(Order_Details_PBI[[#This Row],[Profit Margine]]&lt;0," Loss",IF(Order_Details_PBI[[#This Row],[Profit Margine]]=0," Break-Even","Profit"))</f>
        <v>Profit</v>
      </c>
      <c r="I336" s="2">
        <v>43469</v>
      </c>
      <c r="J336" t="s">
        <v>860</v>
      </c>
      <c r="K336" t="str">
        <f>UPPER(List_of_Orders_PBI[[#This Row],[CustomerName]])</f>
        <v>SUDHIR</v>
      </c>
      <c r="L336" t="s">
        <v>582</v>
      </c>
      <c r="M336" t="s">
        <v>583</v>
      </c>
      <c r="N336" t="str">
        <f>TEXT(List_of_Orders_PBI[[#This Row],[Order Date]],"DD-MMM-YYYY")</f>
        <v>04-Jan-2019</v>
      </c>
      <c r="O336" t="str">
        <f>_xlfn.CONCAT(List_of_Orders_PBI[[#This Row],[City]] &amp;" - "&amp; List_of_Orders_PBI[[#This Row],[State]])</f>
        <v>Kohima - Nagaland</v>
      </c>
    </row>
    <row r="337" spans="1:15" x14ac:dyDescent="0.3">
      <c r="A337" t="s">
        <v>361</v>
      </c>
      <c r="B337">
        <v>61</v>
      </c>
      <c r="C337">
        <v>25</v>
      </c>
      <c r="D337">
        <v>4</v>
      </c>
      <c r="E337" t="s">
        <v>9</v>
      </c>
      <c r="F337" t="s">
        <v>16</v>
      </c>
      <c r="G337">
        <f>Order_Details_PBI[[#This Row],[Profit]]/Order_Details_PBI[[#This Row],[Amount]]</f>
        <v>0.4098360655737705</v>
      </c>
      <c r="H337" t="str">
        <f>IF(Order_Details_PBI[[#This Row],[Profit Margine]]&lt;0," Loss",IF(Order_Details_PBI[[#This Row],[Profit Margine]]=0," Break-Even","Profit"))</f>
        <v>Profit</v>
      </c>
      <c r="I337" s="2">
        <v>43470</v>
      </c>
      <c r="J337" t="s">
        <v>861</v>
      </c>
      <c r="K337" t="str">
        <f>UPPER(List_of_Orders_PBI[[#This Row],[CustomerName]])</f>
        <v>NIKHIL</v>
      </c>
      <c r="L337" t="s">
        <v>569</v>
      </c>
      <c r="M337" t="s">
        <v>570</v>
      </c>
      <c r="N337" t="str">
        <f>TEXT(List_of_Orders_PBI[[#This Row],[Order Date]],"DD-MMM-YYYY")</f>
        <v>05-Jan-2019</v>
      </c>
      <c r="O337" t="str">
        <f>_xlfn.CONCAT(List_of_Orders_PBI[[#This Row],[City]] &amp;" - "&amp; List_of_Orders_PBI[[#This Row],[State]])</f>
        <v>Chandigarh - Punjab</v>
      </c>
    </row>
    <row r="338" spans="1:15" x14ac:dyDescent="0.3">
      <c r="A338" t="s">
        <v>362</v>
      </c>
      <c r="B338">
        <v>1101</v>
      </c>
      <c r="C338">
        <v>352</v>
      </c>
      <c r="D338">
        <v>3</v>
      </c>
      <c r="E338" t="s">
        <v>7</v>
      </c>
      <c r="F338" t="s">
        <v>8</v>
      </c>
      <c r="G338">
        <f>Order_Details_PBI[[#This Row],[Profit]]/Order_Details_PBI[[#This Row],[Amount]]</f>
        <v>0.31970935513169846</v>
      </c>
      <c r="H338" t="str">
        <f>IF(Order_Details_PBI[[#This Row],[Profit Margine]]&lt;0," Loss",IF(Order_Details_PBI[[#This Row],[Profit Margine]]=0," Break-Even","Profit"))</f>
        <v>Profit</v>
      </c>
      <c r="I338" s="2">
        <v>43470</v>
      </c>
      <c r="J338" t="s">
        <v>755</v>
      </c>
      <c r="K338" t="str">
        <f>UPPER(List_of_Orders_PBI[[#This Row],[CustomerName]])</f>
        <v>ANKIT</v>
      </c>
      <c r="L338" t="s">
        <v>572</v>
      </c>
      <c r="M338" t="s">
        <v>570</v>
      </c>
      <c r="N338" t="str">
        <f>TEXT(List_of_Orders_PBI[[#This Row],[Order Date]],"DD-MMM-YYYY")</f>
        <v>05-Jan-2019</v>
      </c>
      <c r="O338" t="str">
        <f>_xlfn.CONCAT(List_of_Orders_PBI[[#This Row],[City]] &amp;" - "&amp; List_of_Orders_PBI[[#This Row],[State]])</f>
        <v>Chandigarh - Haryana</v>
      </c>
    </row>
    <row r="339" spans="1:15" x14ac:dyDescent="0.3">
      <c r="A339" t="s">
        <v>363</v>
      </c>
      <c r="B339">
        <v>61</v>
      </c>
      <c r="C339">
        <v>1</v>
      </c>
      <c r="D339">
        <v>2</v>
      </c>
      <c r="E339" t="s">
        <v>7</v>
      </c>
      <c r="F339" t="s">
        <v>34</v>
      </c>
      <c r="G339">
        <f>Order_Details_PBI[[#This Row],[Profit]]/Order_Details_PBI[[#This Row],[Amount]]</f>
        <v>1.6393442622950821E-2</v>
      </c>
      <c r="H339" t="str">
        <f>IF(Order_Details_PBI[[#This Row],[Profit Margine]]&lt;0," Loss",IF(Order_Details_PBI[[#This Row],[Profit Margine]]=0," Break-Even","Profit"))</f>
        <v>Profit</v>
      </c>
      <c r="I339" s="2">
        <v>43470</v>
      </c>
      <c r="J339" t="s">
        <v>858</v>
      </c>
      <c r="K339" t="str">
        <f>UPPER(List_of_Orders_PBI[[#This Row],[CustomerName]])</f>
        <v>SHIKHAR</v>
      </c>
      <c r="L339" t="s">
        <v>574</v>
      </c>
      <c r="M339" t="s">
        <v>575</v>
      </c>
      <c r="N339" t="str">
        <f>TEXT(List_of_Orders_PBI[[#This Row],[Order Date]],"DD-MMM-YYYY")</f>
        <v>05-Jan-2019</v>
      </c>
      <c r="O339" t="str">
        <f>_xlfn.CONCAT(List_of_Orders_PBI[[#This Row],[City]] &amp;" - "&amp; List_of_Orders_PBI[[#This Row],[State]])</f>
        <v>Simla - Himachal Pradesh</v>
      </c>
    </row>
    <row r="340" spans="1:15" x14ac:dyDescent="0.3">
      <c r="A340" t="s">
        <v>364</v>
      </c>
      <c r="B340">
        <v>61</v>
      </c>
      <c r="C340">
        <v>18</v>
      </c>
      <c r="D340">
        <v>2</v>
      </c>
      <c r="E340" t="s">
        <v>12</v>
      </c>
      <c r="F340" t="s">
        <v>33</v>
      </c>
      <c r="G340">
        <f>Order_Details_PBI[[#This Row],[Profit]]/Order_Details_PBI[[#This Row],[Amount]]</f>
        <v>0.29508196721311475</v>
      </c>
      <c r="H340" t="str">
        <f>IF(Order_Details_PBI[[#This Row],[Profit Margine]]&lt;0," Loss",IF(Order_Details_PBI[[#This Row],[Profit Margine]]=0," Break-Even","Profit"))</f>
        <v>Profit</v>
      </c>
      <c r="I340" s="2">
        <v>43470</v>
      </c>
      <c r="J340" t="s">
        <v>862</v>
      </c>
      <c r="K340" t="str">
        <f>UPPER(List_of_Orders_PBI[[#This Row],[CustomerName]])</f>
        <v>VINEET</v>
      </c>
      <c r="L340" t="s">
        <v>577</v>
      </c>
      <c r="M340" t="s">
        <v>578</v>
      </c>
      <c r="N340" t="str">
        <f>TEXT(List_of_Orders_PBI[[#This Row],[Order Date]],"DD-MMM-YYYY")</f>
        <v>05-Jan-2019</v>
      </c>
      <c r="O340" t="str">
        <f>_xlfn.CONCAT(List_of_Orders_PBI[[#This Row],[City]] &amp;" - "&amp; List_of_Orders_PBI[[#This Row],[State]])</f>
        <v>Gangtok - Sikkim</v>
      </c>
    </row>
    <row r="341" spans="1:15" x14ac:dyDescent="0.3">
      <c r="A341" t="s">
        <v>365</v>
      </c>
      <c r="B341">
        <v>55</v>
      </c>
      <c r="C341">
        <v>4</v>
      </c>
      <c r="D341">
        <v>2</v>
      </c>
      <c r="E341" t="s">
        <v>9</v>
      </c>
      <c r="F341" t="s">
        <v>10</v>
      </c>
      <c r="G341">
        <f>Order_Details_PBI[[#This Row],[Profit]]/Order_Details_PBI[[#This Row],[Amount]]</f>
        <v>7.2727272727272724E-2</v>
      </c>
      <c r="H341" t="str">
        <f>IF(Order_Details_PBI[[#This Row],[Profit Margine]]&lt;0," Loss",IF(Order_Details_PBI[[#This Row],[Profit Margine]]=0," Break-Even","Profit"))</f>
        <v>Profit</v>
      </c>
      <c r="I341" s="2">
        <v>43471</v>
      </c>
      <c r="J341" t="s">
        <v>863</v>
      </c>
      <c r="K341" t="str">
        <f>UPPER(List_of_Orders_PBI[[#This Row],[CustomerName]])</f>
        <v>VIVEK</v>
      </c>
      <c r="L341" t="s">
        <v>580</v>
      </c>
      <c r="M341" t="s">
        <v>580</v>
      </c>
      <c r="N341" t="str">
        <f>TEXT(List_of_Orders_PBI[[#This Row],[Order Date]],"DD-MMM-YYYY")</f>
        <v>06-Jan-2019</v>
      </c>
      <c r="O341" t="str">
        <f>_xlfn.CONCAT(List_of_Orders_PBI[[#This Row],[City]] &amp;" - "&amp; List_of_Orders_PBI[[#This Row],[State]])</f>
        <v>Goa - Goa</v>
      </c>
    </row>
    <row r="342" spans="1:15" x14ac:dyDescent="0.3">
      <c r="A342" t="s">
        <v>366</v>
      </c>
      <c r="B342">
        <v>177</v>
      </c>
      <c r="C342">
        <v>41</v>
      </c>
      <c r="D342">
        <v>4</v>
      </c>
      <c r="E342" t="s">
        <v>9</v>
      </c>
      <c r="F342" t="s">
        <v>25</v>
      </c>
      <c r="G342">
        <f>Order_Details_PBI[[#This Row],[Profit]]/Order_Details_PBI[[#This Row],[Amount]]</f>
        <v>0.23163841807909605</v>
      </c>
      <c r="H342" t="str">
        <f>IF(Order_Details_PBI[[#This Row],[Profit Margine]]&lt;0," Loss",IF(Order_Details_PBI[[#This Row],[Profit Margine]]=0," Break-Even","Profit"))</f>
        <v>Profit</v>
      </c>
      <c r="I342" s="2">
        <v>43472</v>
      </c>
      <c r="J342" t="s">
        <v>864</v>
      </c>
      <c r="K342" t="str">
        <f>UPPER(List_of_Orders_PBI[[#This Row],[CustomerName]])</f>
        <v>JAIDEEP</v>
      </c>
      <c r="L342" t="s">
        <v>582</v>
      </c>
      <c r="M342" t="s">
        <v>583</v>
      </c>
      <c r="N342" t="str">
        <f>TEXT(List_of_Orders_PBI[[#This Row],[Order Date]],"DD-MMM-YYYY")</f>
        <v>07-Jan-2019</v>
      </c>
      <c r="O342" t="str">
        <f>_xlfn.CONCAT(List_of_Orders_PBI[[#This Row],[City]] &amp;" - "&amp; List_of_Orders_PBI[[#This Row],[State]])</f>
        <v>Kohima - Nagaland</v>
      </c>
    </row>
    <row r="343" spans="1:15" x14ac:dyDescent="0.3">
      <c r="A343" t="s">
        <v>367</v>
      </c>
      <c r="B343">
        <v>646</v>
      </c>
      <c r="C343">
        <v>-23</v>
      </c>
      <c r="D343">
        <v>2</v>
      </c>
      <c r="E343" t="s">
        <v>12</v>
      </c>
      <c r="F343" t="s">
        <v>30</v>
      </c>
      <c r="G343">
        <f>Order_Details_PBI[[#This Row],[Profit]]/Order_Details_PBI[[#This Row],[Amount]]</f>
        <v>-3.5603715170278639E-2</v>
      </c>
      <c r="H343" t="str">
        <f>IF(Order_Details_PBI[[#This Row],[Profit Margine]]&lt;0," Loss",IF(Order_Details_PBI[[#This Row],[Profit Margine]]=0," Break-Even","Profit"))</f>
        <v xml:space="preserve"> Loss</v>
      </c>
      <c r="I343" s="2">
        <v>43473</v>
      </c>
      <c r="J343" t="s">
        <v>768</v>
      </c>
      <c r="K343" t="str">
        <f>UPPER(List_of_Orders_PBI[[#This Row],[CustomerName]])</f>
        <v>ANKUR</v>
      </c>
      <c r="L343" t="s">
        <v>585</v>
      </c>
      <c r="M343" t="s">
        <v>586</v>
      </c>
      <c r="N343" t="str">
        <f>TEXT(List_of_Orders_PBI[[#This Row],[Order Date]],"DD-MMM-YYYY")</f>
        <v>08-Jan-2019</v>
      </c>
      <c r="O343" t="str">
        <f>_xlfn.CONCAT(List_of_Orders_PBI[[#This Row],[City]] &amp;" - "&amp; List_of_Orders_PBI[[#This Row],[State]])</f>
        <v>Hyderabad - Andhra Pradesh</v>
      </c>
    </row>
    <row r="344" spans="1:15" x14ac:dyDescent="0.3">
      <c r="A344" t="s">
        <v>368</v>
      </c>
      <c r="B344">
        <v>48</v>
      </c>
      <c r="C344">
        <v>20</v>
      </c>
      <c r="D344">
        <v>4</v>
      </c>
      <c r="E344" t="s">
        <v>9</v>
      </c>
      <c r="F344" t="s">
        <v>10</v>
      </c>
      <c r="G344">
        <f>Order_Details_PBI[[#This Row],[Profit]]/Order_Details_PBI[[#This Row],[Amount]]</f>
        <v>0.41666666666666669</v>
      </c>
      <c r="H344" t="str">
        <f>IF(Order_Details_PBI[[#This Row],[Profit Margine]]&lt;0," Loss",IF(Order_Details_PBI[[#This Row],[Profit Margine]]=0," Break-Even","Profit"))</f>
        <v>Profit</v>
      </c>
      <c r="I344" s="2">
        <v>43474</v>
      </c>
      <c r="J344" t="s">
        <v>865</v>
      </c>
      <c r="K344" t="str">
        <f>UPPER(List_of_Orders_PBI[[#This Row],[CustomerName]])</f>
        <v>SHARDUL</v>
      </c>
      <c r="L344" t="s">
        <v>536</v>
      </c>
      <c r="M344" t="s">
        <v>537</v>
      </c>
      <c r="N344" t="str">
        <f>TEXT(List_of_Orders_PBI[[#This Row],[Order Date]],"DD-MMM-YYYY")</f>
        <v>09-Jan-2019</v>
      </c>
      <c r="O344" t="str">
        <f>_xlfn.CONCAT(List_of_Orders_PBI[[#This Row],[City]] &amp;" - "&amp; List_of_Orders_PBI[[#This Row],[State]])</f>
        <v>Ahmedabad - Gujarat</v>
      </c>
    </row>
    <row r="345" spans="1:15" x14ac:dyDescent="0.3">
      <c r="A345" t="s">
        <v>369</v>
      </c>
      <c r="B345">
        <v>169</v>
      </c>
      <c r="C345">
        <v>38</v>
      </c>
      <c r="D345">
        <v>3</v>
      </c>
      <c r="E345" t="s">
        <v>9</v>
      </c>
      <c r="F345" t="s">
        <v>16</v>
      </c>
      <c r="G345">
        <f>Order_Details_PBI[[#This Row],[Profit]]/Order_Details_PBI[[#This Row],[Amount]]</f>
        <v>0.22485207100591717</v>
      </c>
      <c r="H345" t="str">
        <f>IF(Order_Details_PBI[[#This Row],[Profit Margine]]&lt;0," Loss",IF(Order_Details_PBI[[#This Row],[Profit Margine]]=0," Break-Even","Profit"))</f>
        <v>Profit</v>
      </c>
      <c r="I345" s="2">
        <v>43475</v>
      </c>
      <c r="J345" t="s">
        <v>866</v>
      </c>
      <c r="K345" t="str">
        <f>UPPER(List_of_Orders_PBI[[#This Row],[CustomerName]])</f>
        <v>SYED</v>
      </c>
      <c r="L345" t="s">
        <v>539</v>
      </c>
      <c r="M345" t="s">
        <v>540</v>
      </c>
      <c r="N345" t="str">
        <f>TEXT(List_of_Orders_PBI[[#This Row],[Order Date]],"DD-MMM-YYYY")</f>
        <v>10-Jan-2019</v>
      </c>
      <c r="O345" t="str">
        <f>_xlfn.CONCAT(List_of_Orders_PBI[[#This Row],[City]] &amp;" - "&amp; List_of_Orders_PBI[[#This Row],[State]])</f>
        <v>Pune - Maharashtra</v>
      </c>
    </row>
    <row r="346" spans="1:15" x14ac:dyDescent="0.3">
      <c r="A346" t="s">
        <v>370</v>
      </c>
      <c r="B346">
        <v>245</v>
      </c>
      <c r="C346">
        <v>10</v>
      </c>
      <c r="D346">
        <v>2</v>
      </c>
      <c r="E346" t="s">
        <v>7</v>
      </c>
      <c r="F346" t="s">
        <v>8</v>
      </c>
      <c r="G346">
        <f>Order_Details_PBI[[#This Row],[Profit]]/Order_Details_PBI[[#This Row],[Amount]]</f>
        <v>4.0816326530612242E-2</v>
      </c>
      <c r="H346" t="str">
        <f>IF(Order_Details_PBI[[#This Row],[Profit Margine]]&lt;0," Loss",IF(Order_Details_PBI[[#This Row],[Profit Margine]]=0," Break-Even","Profit"))</f>
        <v>Profit</v>
      </c>
      <c r="I346" s="2">
        <v>43476</v>
      </c>
      <c r="J346" t="s">
        <v>867</v>
      </c>
      <c r="K346" t="str">
        <f>UPPER(List_of_Orders_PBI[[#This Row],[CustomerName]])</f>
        <v>MHATRE</v>
      </c>
      <c r="L346" t="s">
        <v>542</v>
      </c>
      <c r="M346" t="s">
        <v>597</v>
      </c>
      <c r="N346" t="str">
        <f>TEXT(List_of_Orders_PBI[[#This Row],[Order Date]],"DD-MMM-YYYY")</f>
        <v>11-Jan-2019</v>
      </c>
      <c r="O346" t="str">
        <f>_xlfn.CONCAT(List_of_Orders_PBI[[#This Row],[City]] &amp;" - "&amp; List_of_Orders_PBI[[#This Row],[State]])</f>
        <v>Indore - Madhya Pradesh</v>
      </c>
    </row>
    <row r="347" spans="1:15" x14ac:dyDescent="0.3">
      <c r="A347" t="s">
        <v>371</v>
      </c>
      <c r="B347">
        <v>146</v>
      </c>
      <c r="C347">
        <v>7</v>
      </c>
      <c r="D347">
        <v>2</v>
      </c>
      <c r="E347" t="s">
        <v>12</v>
      </c>
      <c r="F347" t="s">
        <v>15</v>
      </c>
      <c r="G347">
        <f>Order_Details_PBI[[#This Row],[Profit]]/Order_Details_PBI[[#This Row],[Amount]]</f>
        <v>4.7945205479452052E-2</v>
      </c>
      <c r="H347" t="str">
        <f>IF(Order_Details_PBI[[#This Row],[Profit Margine]]&lt;0," Loss",IF(Order_Details_PBI[[#This Row],[Profit Margine]]=0," Break-Even","Profit"))</f>
        <v>Profit</v>
      </c>
      <c r="I347" s="2">
        <v>43477</v>
      </c>
      <c r="J347" t="s">
        <v>808</v>
      </c>
      <c r="K347" t="str">
        <f>UPPER(List_of_Orders_PBI[[#This Row],[CustomerName]])</f>
        <v>SAURABH</v>
      </c>
      <c r="L347" t="s">
        <v>585</v>
      </c>
      <c r="M347" t="s">
        <v>586</v>
      </c>
      <c r="N347" t="str">
        <f>TEXT(List_of_Orders_PBI[[#This Row],[Order Date]],"DD-MMM-YYYY")</f>
        <v>12-Jan-2019</v>
      </c>
      <c r="O347" t="str">
        <f>_xlfn.CONCAT(List_of_Orders_PBI[[#This Row],[City]] &amp;" - "&amp; List_of_Orders_PBI[[#This Row],[State]])</f>
        <v>Hyderabad - Andhra Pradesh</v>
      </c>
    </row>
    <row r="348" spans="1:15" x14ac:dyDescent="0.3">
      <c r="A348" t="s">
        <v>372</v>
      </c>
      <c r="B348">
        <v>290</v>
      </c>
      <c r="C348">
        <v>35</v>
      </c>
      <c r="D348">
        <v>6</v>
      </c>
      <c r="E348" t="s">
        <v>9</v>
      </c>
      <c r="F348" t="s">
        <v>11</v>
      </c>
      <c r="G348">
        <f>Order_Details_PBI[[#This Row],[Profit]]/Order_Details_PBI[[#This Row],[Amount]]</f>
        <v>0.1206896551724138</v>
      </c>
      <c r="H348" t="str">
        <f>IF(Order_Details_PBI[[#This Row],[Profit Margine]]&lt;0," Loss",IF(Order_Details_PBI[[#This Row],[Profit Margine]]=0," Break-Even","Profit"))</f>
        <v>Profit</v>
      </c>
      <c r="I348" s="2">
        <v>43478</v>
      </c>
      <c r="J348" t="s">
        <v>868</v>
      </c>
      <c r="K348" t="str">
        <f>UPPER(List_of_Orders_PBI[[#This Row],[CustomerName]])</f>
        <v>CHETAN</v>
      </c>
      <c r="L348" t="s">
        <v>536</v>
      </c>
      <c r="M348" t="s">
        <v>537</v>
      </c>
      <c r="N348" t="str">
        <f>TEXT(List_of_Orders_PBI[[#This Row],[Order Date]],"DD-MMM-YYYY")</f>
        <v>13-Jan-2019</v>
      </c>
      <c r="O348" t="str">
        <f>_xlfn.CONCAT(List_of_Orders_PBI[[#This Row],[City]] &amp;" - "&amp; List_of_Orders_PBI[[#This Row],[State]])</f>
        <v>Ahmedabad - Gujarat</v>
      </c>
    </row>
    <row r="349" spans="1:15" x14ac:dyDescent="0.3">
      <c r="A349" t="s">
        <v>373</v>
      </c>
      <c r="B349">
        <v>152</v>
      </c>
      <c r="C349">
        <v>23</v>
      </c>
      <c r="D349">
        <v>3</v>
      </c>
      <c r="E349" t="s">
        <v>7</v>
      </c>
      <c r="F349" t="s">
        <v>34</v>
      </c>
      <c r="G349">
        <f>Order_Details_PBI[[#This Row],[Profit]]/Order_Details_PBI[[#This Row],[Amount]]</f>
        <v>0.15131578947368421</v>
      </c>
      <c r="H349" t="str">
        <f>IF(Order_Details_PBI[[#This Row],[Profit Margine]]&lt;0," Loss",IF(Order_Details_PBI[[#This Row],[Profit Margine]]=0," Break-Even","Profit"))</f>
        <v>Profit</v>
      </c>
      <c r="I349" s="2">
        <v>43478</v>
      </c>
      <c r="J349" t="s">
        <v>869</v>
      </c>
      <c r="K349" t="str">
        <f>UPPER(List_of_Orders_PBI[[#This Row],[CustomerName]])</f>
        <v>MUKUND</v>
      </c>
      <c r="L349" t="s">
        <v>539</v>
      </c>
      <c r="M349" t="s">
        <v>540</v>
      </c>
      <c r="N349" t="str">
        <f>TEXT(List_of_Orders_PBI[[#This Row],[Order Date]],"DD-MMM-YYYY")</f>
        <v>13-Jan-2019</v>
      </c>
      <c r="O349" t="str">
        <f>_xlfn.CONCAT(List_of_Orders_PBI[[#This Row],[City]] &amp;" - "&amp; List_of_Orders_PBI[[#This Row],[State]])</f>
        <v>Pune - Maharashtra</v>
      </c>
    </row>
    <row r="350" spans="1:15" x14ac:dyDescent="0.3">
      <c r="A350" t="s">
        <v>374</v>
      </c>
      <c r="B350">
        <v>24</v>
      </c>
      <c r="C350">
        <v>11</v>
      </c>
      <c r="D350">
        <v>3</v>
      </c>
      <c r="E350" t="s">
        <v>9</v>
      </c>
      <c r="F350" t="s">
        <v>11</v>
      </c>
      <c r="G350">
        <f>Order_Details_PBI[[#This Row],[Profit]]/Order_Details_PBI[[#This Row],[Amount]]</f>
        <v>0.45833333333333331</v>
      </c>
      <c r="H350" t="str">
        <f>IF(Order_Details_PBI[[#This Row],[Profit Margine]]&lt;0," Loss",IF(Order_Details_PBI[[#This Row],[Profit Margine]]=0," Break-Even","Profit"))</f>
        <v>Profit</v>
      </c>
      <c r="I350" s="2">
        <v>43478</v>
      </c>
      <c r="J350" t="s">
        <v>870</v>
      </c>
      <c r="K350" t="str">
        <f>UPPER(List_of_Orders_PBI[[#This Row],[CustomerName]])</f>
        <v>SHANTANU</v>
      </c>
      <c r="L350" t="s">
        <v>539</v>
      </c>
      <c r="M350" t="s">
        <v>595</v>
      </c>
      <c r="N350" t="str">
        <f>TEXT(List_of_Orders_PBI[[#This Row],[Order Date]],"DD-MMM-YYYY")</f>
        <v>13-Jan-2019</v>
      </c>
      <c r="O350" t="str">
        <f>_xlfn.CONCAT(List_of_Orders_PBI[[#This Row],[City]] &amp;" - "&amp; List_of_Orders_PBI[[#This Row],[State]])</f>
        <v>Mumbai - Maharashtra</v>
      </c>
    </row>
    <row r="351" spans="1:15" x14ac:dyDescent="0.3">
      <c r="A351" t="s">
        <v>375</v>
      </c>
      <c r="B351">
        <v>13</v>
      </c>
      <c r="C351">
        <v>4</v>
      </c>
      <c r="D351">
        <v>1</v>
      </c>
      <c r="E351" t="s">
        <v>9</v>
      </c>
      <c r="F351" t="s">
        <v>27</v>
      </c>
      <c r="G351">
        <f>Order_Details_PBI[[#This Row],[Profit]]/Order_Details_PBI[[#This Row],[Amount]]</f>
        <v>0.30769230769230771</v>
      </c>
      <c r="H351" t="str">
        <f>IF(Order_Details_PBI[[#This Row],[Profit Margine]]&lt;0," Loss",IF(Order_Details_PBI[[#This Row],[Profit Margine]]=0," Break-Even","Profit"))</f>
        <v>Profit</v>
      </c>
      <c r="I351" s="2">
        <v>43478</v>
      </c>
      <c r="J351" t="s">
        <v>630</v>
      </c>
      <c r="K351" t="str">
        <f>UPPER(List_of_Orders_PBI[[#This Row],[CustomerName]])</f>
        <v>SHRUTI</v>
      </c>
      <c r="L351" t="s">
        <v>542</v>
      </c>
      <c r="M351" t="s">
        <v>597</v>
      </c>
      <c r="N351" t="str">
        <f>TEXT(List_of_Orders_PBI[[#This Row],[Order Date]],"DD-MMM-YYYY")</f>
        <v>13-Jan-2019</v>
      </c>
      <c r="O351" t="str">
        <f>_xlfn.CONCAT(List_of_Orders_PBI[[#This Row],[City]] &amp;" - "&amp; List_of_Orders_PBI[[#This Row],[State]])</f>
        <v>Indore - Madhya Pradesh</v>
      </c>
    </row>
    <row r="352" spans="1:15" x14ac:dyDescent="0.3">
      <c r="A352" t="s">
        <v>376</v>
      </c>
      <c r="B352">
        <v>102</v>
      </c>
      <c r="C352">
        <v>13</v>
      </c>
      <c r="D352">
        <v>2</v>
      </c>
      <c r="E352" t="s">
        <v>9</v>
      </c>
      <c r="F352" t="s">
        <v>10</v>
      </c>
      <c r="G352">
        <f>Order_Details_PBI[[#This Row],[Profit]]/Order_Details_PBI[[#This Row],[Amount]]</f>
        <v>0.12745098039215685</v>
      </c>
      <c r="H352" t="str">
        <f>IF(Order_Details_PBI[[#This Row],[Profit Margine]]&lt;0," Loss",IF(Order_Details_PBI[[#This Row],[Profit Margine]]=0," Break-Even","Profit"))</f>
        <v>Profit</v>
      </c>
      <c r="I352" s="2">
        <v>43478</v>
      </c>
      <c r="J352" t="s">
        <v>871</v>
      </c>
      <c r="K352" t="str">
        <f>UPPER(List_of_Orders_PBI[[#This Row],[CustomerName]])</f>
        <v>JESAL</v>
      </c>
      <c r="L352" t="s">
        <v>548</v>
      </c>
      <c r="M352" t="s">
        <v>549</v>
      </c>
      <c r="N352" t="str">
        <f>TEXT(List_of_Orders_PBI[[#This Row],[Order Date]],"DD-MMM-YYYY")</f>
        <v>13-Jan-2019</v>
      </c>
      <c r="O352" t="str">
        <f>_xlfn.CONCAT(List_of_Orders_PBI[[#This Row],[City]] &amp;" - "&amp; List_of_Orders_PBI[[#This Row],[State]])</f>
        <v>Kolkata - West Bengal</v>
      </c>
    </row>
    <row r="353" spans="1:15" x14ac:dyDescent="0.3">
      <c r="A353" t="s">
        <v>377</v>
      </c>
      <c r="B353">
        <v>14</v>
      </c>
      <c r="C353">
        <v>0</v>
      </c>
      <c r="D353">
        <v>4</v>
      </c>
      <c r="E353" t="s">
        <v>9</v>
      </c>
      <c r="F353" t="s">
        <v>11</v>
      </c>
      <c r="G353">
        <f>Order_Details_PBI[[#This Row],[Profit]]/Order_Details_PBI[[#This Row],[Amount]]</f>
        <v>0</v>
      </c>
      <c r="H353" t="str">
        <f>IF(Order_Details_PBI[[#This Row],[Profit Margine]]&lt;0," Loss",IF(Order_Details_PBI[[#This Row],[Profit Margine]]=0," Break-Even","Profit"))</f>
        <v xml:space="preserve"> Break-Even</v>
      </c>
      <c r="I353" s="2">
        <v>43478</v>
      </c>
      <c r="J353" t="s">
        <v>626</v>
      </c>
      <c r="K353" t="str">
        <f>UPPER(List_of_Orders_PBI[[#This Row],[CustomerName]])</f>
        <v>PRIYANKA</v>
      </c>
      <c r="L353" t="s">
        <v>542</v>
      </c>
      <c r="M353" t="s">
        <v>597</v>
      </c>
      <c r="N353" t="str">
        <f>TEXT(List_of_Orders_PBI[[#This Row],[Order Date]],"DD-MMM-YYYY")</f>
        <v>13-Jan-2019</v>
      </c>
      <c r="O353" t="str">
        <f>_xlfn.CONCAT(List_of_Orders_PBI[[#This Row],[City]] &amp;" - "&amp; List_of_Orders_PBI[[#This Row],[State]])</f>
        <v>Indore - Madhya Pradesh</v>
      </c>
    </row>
    <row r="354" spans="1:15" x14ac:dyDescent="0.3">
      <c r="A354" t="s">
        <v>378</v>
      </c>
      <c r="B354">
        <v>22</v>
      </c>
      <c r="C354">
        <v>-8</v>
      </c>
      <c r="D354">
        <v>4</v>
      </c>
      <c r="E354" t="s">
        <v>9</v>
      </c>
      <c r="F354" t="s">
        <v>11</v>
      </c>
      <c r="G354">
        <f>Order_Details_PBI[[#This Row],[Profit]]/Order_Details_PBI[[#This Row],[Amount]]</f>
        <v>-0.36363636363636365</v>
      </c>
      <c r="H354" t="str">
        <f>IF(Order_Details_PBI[[#This Row],[Profit Margine]]&lt;0," Loss",IF(Order_Details_PBI[[#This Row],[Profit Margine]]=0," Break-Even","Profit"))</f>
        <v xml:space="preserve"> Loss</v>
      </c>
      <c r="I354" s="2">
        <v>43479</v>
      </c>
      <c r="J354" t="s">
        <v>652</v>
      </c>
      <c r="K354" t="str">
        <f>UPPER(List_of_Orders_PBI[[#This Row],[CustomerName]])</f>
        <v>KRUTIKA</v>
      </c>
      <c r="L354" t="s">
        <v>585</v>
      </c>
      <c r="M354" t="s">
        <v>586</v>
      </c>
      <c r="N354" t="str">
        <f>TEXT(List_of_Orders_PBI[[#This Row],[Order Date]],"DD-MMM-YYYY")</f>
        <v>14-Jan-2019</v>
      </c>
      <c r="O354" t="str">
        <f>_xlfn.CONCAT(List_of_Orders_PBI[[#This Row],[City]] &amp;" - "&amp; List_of_Orders_PBI[[#This Row],[State]])</f>
        <v>Hyderabad - Andhra Pradesh</v>
      </c>
    </row>
    <row r="355" spans="1:15" x14ac:dyDescent="0.3">
      <c r="A355" t="s">
        <v>379</v>
      </c>
      <c r="B355">
        <v>891</v>
      </c>
      <c r="C355">
        <v>0</v>
      </c>
      <c r="D355">
        <v>5</v>
      </c>
      <c r="E355" t="s">
        <v>9</v>
      </c>
      <c r="F355" t="s">
        <v>16</v>
      </c>
      <c r="G355">
        <f>Order_Details_PBI[[#This Row],[Profit]]/Order_Details_PBI[[#This Row],[Amount]]</f>
        <v>0</v>
      </c>
      <c r="H355" t="str">
        <f>IF(Order_Details_PBI[[#This Row],[Profit Margine]]&lt;0," Loss",IF(Order_Details_PBI[[#This Row],[Profit Margine]]=0," Break-Even","Profit"))</f>
        <v xml:space="preserve"> Break-Even</v>
      </c>
      <c r="I355" s="2">
        <v>43479</v>
      </c>
      <c r="J355" t="s">
        <v>872</v>
      </c>
      <c r="K355" t="str">
        <f>UPPER(List_of_Orders_PBI[[#This Row],[CustomerName]])</f>
        <v>TRUPTI</v>
      </c>
      <c r="L355" t="s">
        <v>536</v>
      </c>
      <c r="M355" t="s">
        <v>537</v>
      </c>
      <c r="N355" t="str">
        <f>TEXT(List_of_Orders_PBI[[#This Row],[Order Date]],"DD-MMM-YYYY")</f>
        <v>14-Jan-2019</v>
      </c>
      <c r="O355" t="str">
        <f>_xlfn.CONCAT(List_of_Orders_PBI[[#This Row],[City]] &amp;" - "&amp; List_of_Orders_PBI[[#This Row],[State]])</f>
        <v>Ahmedabad - Gujarat</v>
      </c>
    </row>
    <row r="356" spans="1:15" x14ac:dyDescent="0.3">
      <c r="A356" t="s">
        <v>380</v>
      </c>
      <c r="B356">
        <v>1716</v>
      </c>
      <c r="C356">
        <v>309</v>
      </c>
      <c r="D356">
        <v>7</v>
      </c>
      <c r="E356" t="s">
        <v>12</v>
      </c>
      <c r="F356" t="s">
        <v>33</v>
      </c>
      <c r="G356">
        <f>Order_Details_PBI[[#This Row],[Profit]]/Order_Details_PBI[[#This Row],[Amount]]</f>
        <v>0.18006993006993008</v>
      </c>
      <c r="H356" t="str">
        <f>IF(Order_Details_PBI[[#This Row],[Profit Margine]]&lt;0," Loss",IF(Order_Details_PBI[[#This Row],[Profit Margine]]=0," Break-Even","Profit"))</f>
        <v>Profit</v>
      </c>
      <c r="I356" s="2">
        <v>43481</v>
      </c>
      <c r="J356" t="s">
        <v>720</v>
      </c>
      <c r="K356" t="str">
        <f>UPPER(List_of_Orders_PBI[[#This Row],[CustomerName]])</f>
        <v>SOUMYA</v>
      </c>
      <c r="L356" t="s">
        <v>539</v>
      </c>
      <c r="M356" t="s">
        <v>540</v>
      </c>
      <c r="N356" t="str">
        <f>TEXT(List_of_Orders_PBI[[#This Row],[Order Date]],"DD-MMM-YYYY")</f>
        <v>16-Jan-2019</v>
      </c>
      <c r="O356" t="str">
        <f>_xlfn.CONCAT(List_of_Orders_PBI[[#This Row],[City]] &amp;" - "&amp; List_of_Orders_PBI[[#This Row],[State]])</f>
        <v>Pune - Maharashtra</v>
      </c>
    </row>
    <row r="357" spans="1:15" x14ac:dyDescent="0.3">
      <c r="A357" t="s">
        <v>381</v>
      </c>
      <c r="B357">
        <v>89</v>
      </c>
      <c r="C357">
        <v>-37</v>
      </c>
      <c r="D357">
        <v>4</v>
      </c>
      <c r="E357" t="s">
        <v>9</v>
      </c>
      <c r="F357" t="s">
        <v>25</v>
      </c>
      <c r="G357">
        <f>Order_Details_PBI[[#This Row],[Profit]]/Order_Details_PBI[[#This Row],[Amount]]</f>
        <v>-0.4157303370786517</v>
      </c>
      <c r="H357" t="str">
        <f>IF(Order_Details_PBI[[#This Row],[Profit Margine]]&lt;0," Loss",IF(Order_Details_PBI[[#This Row],[Profit Margine]]=0," Break-Even","Profit"))</f>
        <v xml:space="preserve"> Loss</v>
      </c>
      <c r="I357" s="2">
        <v>43482</v>
      </c>
      <c r="J357" t="s">
        <v>645</v>
      </c>
      <c r="K357" t="str">
        <f>UPPER(List_of_Orders_PBI[[#This Row],[CustomerName]])</f>
        <v>SHREYA</v>
      </c>
      <c r="L357" t="s">
        <v>539</v>
      </c>
      <c r="M357" t="s">
        <v>595</v>
      </c>
      <c r="N357" t="str">
        <f>TEXT(List_of_Orders_PBI[[#This Row],[Order Date]],"DD-MMM-YYYY")</f>
        <v>17-Jan-2019</v>
      </c>
      <c r="O357" t="str">
        <f>_xlfn.CONCAT(List_of_Orders_PBI[[#This Row],[City]] &amp;" - "&amp; List_of_Orders_PBI[[#This Row],[State]])</f>
        <v>Mumbai - Maharashtra</v>
      </c>
    </row>
    <row r="358" spans="1:15" x14ac:dyDescent="0.3">
      <c r="A358" t="s">
        <v>382</v>
      </c>
      <c r="B358">
        <v>147</v>
      </c>
      <c r="C358">
        <v>73</v>
      </c>
      <c r="D358">
        <v>3</v>
      </c>
      <c r="E358" t="s">
        <v>9</v>
      </c>
      <c r="F358" t="s">
        <v>10</v>
      </c>
      <c r="G358">
        <f>Order_Details_PBI[[#This Row],[Profit]]/Order_Details_PBI[[#This Row],[Amount]]</f>
        <v>0.49659863945578231</v>
      </c>
      <c r="H358" t="str">
        <f>IF(Order_Details_PBI[[#This Row],[Profit Margine]]&lt;0," Loss",IF(Order_Details_PBI[[#This Row],[Profit Margine]]=0," Break-Even","Profit"))</f>
        <v>Profit</v>
      </c>
      <c r="I358" s="2">
        <v>43483</v>
      </c>
      <c r="J358" t="s">
        <v>644</v>
      </c>
      <c r="K358" t="str">
        <f>UPPER(List_of_Orders_PBI[[#This Row],[CustomerName]])</f>
        <v>MAHIMA</v>
      </c>
      <c r="L358" t="s">
        <v>542</v>
      </c>
      <c r="M358" t="s">
        <v>597</v>
      </c>
      <c r="N358" t="str">
        <f>TEXT(List_of_Orders_PBI[[#This Row],[Order Date]],"DD-MMM-YYYY")</f>
        <v>18-Jan-2019</v>
      </c>
      <c r="O358" t="str">
        <f>_xlfn.CONCAT(List_of_Orders_PBI[[#This Row],[City]] &amp;" - "&amp; List_of_Orders_PBI[[#This Row],[State]])</f>
        <v>Indore - Madhya Pradesh</v>
      </c>
    </row>
    <row r="359" spans="1:15" x14ac:dyDescent="0.3">
      <c r="A359" t="s">
        <v>383</v>
      </c>
      <c r="B359">
        <v>105</v>
      </c>
      <c r="C359">
        <v>25</v>
      </c>
      <c r="D359">
        <v>2</v>
      </c>
      <c r="E359" t="s">
        <v>9</v>
      </c>
      <c r="F359" t="s">
        <v>11</v>
      </c>
      <c r="G359">
        <f>Order_Details_PBI[[#This Row],[Profit]]/Order_Details_PBI[[#This Row],[Amount]]</f>
        <v>0.23809523809523808</v>
      </c>
      <c r="H359" t="str">
        <f>IF(Order_Details_PBI[[#This Row],[Profit Margine]]&lt;0," Loss",IF(Order_Details_PBI[[#This Row],[Profit Margine]]=0," Break-Even","Profit"))</f>
        <v>Profit</v>
      </c>
      <c r="I359" s="2">
        <v>43483</v>
      </c>
      <c r="J359" t="s">
        <v>873</v>
      </c>
      <c r="K359" t="str">
        <f>UPPER(List_of_Orders_PBI[[#This Row],[CustomerName]])</f>
        <v>APARAJITA</v>
      </c>
      <c r="L359" t="s">
        <v>548</v>
      </c>
      <c r="M359" t="s">
        <v>549</v>
      </c>
      <c r="N359" t="str">
        <f>TEXT(List_of_Orders_PBI[[#This Row],[Order Date]],"DD-MMM-YYYY")</f>
        <v>18-Jan-2019</v>
      </c>
      <c r="O359" t="str">
        <f>_xlfn.CONCAT(List_of_Orders_PBI[[#This Row],[City]] &amp;" - "&amp; List_of_Orders_PBI[[#This Row],[State]])</f>
        <v>Kolkata - West Bengal</v>
      </c>
    </row>
    <row r="360" spans="1:15" x14ac:dyDescent="0.3">
      <c r="A360" t="s">
        <v>384</v>
      </c>
      <c r="B360">
        <v>252</v>
      </c>
      <c r="C360">
        <v>56</v>
      </c>
      <c r="D360">
        <v>2</v>
      </c>
      <c r="E360" t="s">
        <v>12</v>
      </c>
      <c r="F360" t="s">
        <v>15</v>
      </c>
      <c r="G360">
        <f>Order_Details_PBI[[#This Row],[Profit]]/Order_Details_PBI[[#This Row],[Amount]]</f>
        <v>0.22222222222222221</v>
      </c>
      <c r="H360" t="str">
        <f>IF(Order_Details_PBI[[#This Row],[Profit Margine]]&lt;0," Loss",IF(Order_Details_PBI[[#This Row],[Profit Margine]]=0," Break-Even","Profit"))</f>
        <v>Profit</v>
      </c>
      <c r="I360" s="2">
        <v>43483</v>
      </c>
      <c r="J360" t="s">
        <v>874</v>
      </c>
      <c r="K360" t="str">
        <f>UPPER(List_of_Orders_PBI[[#This Row],[CustomerName]])</f>
        <v>MUSKAN</v>
      </c>
      <c r="L360" t="s">
        <v>542</v>
      </c>
      <c r="M360" t="s">
        <v>597</v>
      </c>
      <c r="N360" t="str">
        <f>TEXT(List_of_Orders_PBI[[#This Row],[Order Date]],"DD-MMM-YYYY")</f>
        <v>18-Jan-2019</v>
      </c>
      <c r="O360" t="str">
        <f>_xlfn.CONCAT(List_of_Orders_PBI[[#This Row],[City]] &amp;" - "&amp; List_of_Orders_PBI[[#This Row],[State]])</f>
        <v>Indore - Madhya Pradesh</v>
      </c>
    </row>
    <row r="361" spans="1:15" x14ac:dyDescent="0.3">
      <c r="A361" t="s">
        <v>385</v>
      </c>
      <c r="B361">
        <v>171</v>
      </c>
      <c r="C361">
        <v>-140</v>
      </c>
      <c r="D361">
        <v>2</v>
      </c>
      <c r="E361" t="s">
        <v>7</v>
      </c>
      <c r="F361" t="s">
        <v>8</v>
      </c>
      <c r="G361">
        <f>Order_Details_PBI[[#This Row],[Profit]]/Order_Details_PBI[[#This Row],[Amount]]</f>
        <v>-0.81871345029239762</v>
      </c>
      <c r="H361" t="str">
        <f>IF(Order_Details_PBI[[#This Row],[Profit Margine]]&lt;0," Loss",IF(Order_Details_PBI[[#This Row],[Profit Margine]]=0," Break-Even","Profit"))</f>
        <v xml:space="preserve"> Loss</v>
      </c>
      <c r="I361" s="2">
        <v>43483</v>
      </c>
      <c r="J361" t="s">
        <v>645</v>
      </c>
      <c r="K361" t="str">
        <f>UPPER(List_of_Orders_PBI[[#This Row],[CustomerName]])</f>
        <v>SHREYA</v>
      </c>
      <c r="L361" t="s">
        <v>585</v>
      </c>
      <c r="M361" t="s">
        <v>586</v>
      </c>
      <c r="N361" t="str">
        <f>TEXT(List_of_Orders_PBI[[#This Row],[Order Date]],"DD-MMM-YYYY")</f>
        <v>18-Jan-2019</v>
      </c>
      <c r="O361" t="str">
        <f>_xlfn.CONCAT(List_of_Orders_PBI[[#This Row],[City]] &amp;" - "&amp; List_of_Orders_PBI[[#This Row],[State]])</f>
        <v>Hyderabad - Andhra Pradesh</v>
      </c>
    </row>
    <row r="362" spans="1:15" x14ac:dyDescent="0.3">
      <c r="A362" t="s">
        <v>386</v>
      </c>
      <c r="B362">
        <v>34</v>
      </c>
      <c r="C362">
        <v>-12</v>
      </c>
      <c r="D362">
        <v>5</v>
      </c>
      <c r="E362" t="s">
        <v>9</v>
      </c>
      <c r="F362" t="s">
        <v>27</v>
      </c>
      <c r="G362">
        <f>Order_Details_PBI[[#This Row],[Profit]]/Order_Details_PBI[[#This Row],[Amount]]</f>
        <v>-0.35294117647058826</v>
      </c>
      <c r="H362" t="str">
        <f>IF(Order_Details_PBI[[#This Row],[Profit Margine]]&lt;0," Loss",IF(Order_Details_PBI[[#This Row],[Profit Margine]]=0," Break-Even","Profit"))</f>
        <v xml:space="preserve"> Loss</v>
      </c>
      <c r="I362" s="2">
        <v>43483</v>
      </c>
      <c r="J362" t="s">
        <v>727</v>
      </c>
      <c r="K362" t="str">
        <f>UPPER(List_of_Orders_PBI[[#This Row],[CustomerName]])</f>
        <v>SURBHI</v>
      </c>
      <c r="L362" t="s">
        <v>536</v>
      </c>
      <c r="M362" t="s">
        <v>537</v>
      </c>
      <c r="N362" t="str">
        <f>TEXT(List_of_Orders_PBI[[#This Row],[Order Date]],"DD-MMM-YYYY")</f>
        <v>18-Jan-2019</v>
      </c>
      <c r="O362" t="str">
        <f>_xlfn.CONCAT(List_of_Orders_PBI[[#This Row],[City]] &amp;" - "&amp; List_of_Orders_PBI[[#This Row],[State]])</f>
        <v>Ahmedabad - Gujarat</v>
      </c>
    </row>
    <row r="363" spans="1:15" x14ac:dyDescent="0.3">
      <c r="A363" t="s">
        <v>387</v>
      </c>
      <c r="B363">
        <v>260</v>
      </c>
      <c r="C363">
        <v>68</v>
      </c>
      <c r="D363">
        <v>2</v>
      </c>
      <c r="E363" t="s">
        <v>12</v>
      </c>
      <c r="F363" t="s">
        <v>30</v>
      </c>
      <c r="G363">
        <f>Order_Details_PBI[[#This Row],[Profit]]/Order_Details_PBI[[#This Row],[Amount]]</f>
        <v>0.26153846153846155</v>
      </c>
      <c r="H363" t="str">
        <f>IF(Order_Details_PBI[[#This Row],[Profit Margine]]&lt;0," Loss",IF(Order_Details_PBI[[#This Row],[Profit Margine]]=0," Break-Even","Profit"))</f>
        <v>Profit</v>
      </c>
      <c r="I363" s="2">
        <v>43484</v>
      </c>
      <c r="J363" t="s">
        <v>875</v>
      </c>
      <c r="K363" t="str">
        <f>UPPER(List_of_Orders_PBI[[#This Row],[CustomerName]])</f>
        <v>TEJESWINI</v>
      </c>
      <c r="L363" t="s">
        <v>539</v>
      </c>
      <c r="M363" t="s">
        <v>540</v>
      </c>
      <c r="N363" t="str">
        <f>TEXT(List_of_Orders_PBI[[#This Row],[Order Date]],"DD-MMM-YYYY")</f>
        <v>19-Jan-2019</v>
      </c>
      <c r="O363" t="str">
        <f>_xlfn.CONCAT(List_of_Orders_PBI[[#This Row],[City]] &amp;" - "&amp; List_of_Orders_PBI[[#This Row],[State]])</f>
        <v>Pune - Maharashtra</v>
      </c>
    </row>
    <row r="364" spans="1:15" x14ac:dyDescent="0.3">
      <c r="A364" t="s">
        <v>388</v>
      </c>
      <c r="B364">
        <v>53</v>
      </c>
      <c r="C364">
        <v>8</v>
      </c>
      <c r="D364">
        <v>3</v>
      </c>
      <c r="E364" t="s">
        <v>7</v>
      </c>
      <c r="F364" t="s">
        <v>34</v>
      </c>
      <c r="G364">
        <f>Order_Details_PBI[[#This Row],[Profit]]/Order_Details_PBI[[#This Row],[Amount]]</f>
        <v>0.15094339622641509</v>
      </c>
      <c r="H364" t="str">
        <f>IF(Order_Details_PBI[[#This Row],[Profit Margine]]&lt;0," Loss",IF(Order_Details_PBI[[#This Row],[Profit Margine]]=0," Break-Even","Profit"))</f>
        <v>Profit</v>
      </c>
      <c r="I364" s="2">
        <v>43484</v>
      </c>
      <c r="J364" t="s">
        <v>876</v>
      </c>
      <c r="K364" t="str">
        <f>UPPER(List_of_Orders_PBI[[#This Row],[CustomerName]])</f>
        <v>PRATIKSHA</v>
      </c>
      <c r="L364" t="s">
        <v>539</v>
      </c>
      <c r="M364" t="s">
        <v>595</v>
      </c>
      <c r="N364" t="str">
        <f>TEXT(List_of_Orders_PBI[[#This Row],[Order Date]],"DD-MMM-YYYY")</f>
        <v>19-Jan-2019</v>
      </c>
      <c r="O364" t="str">
        <f>_xlfn.CONCAT(List_of_Orders_PBI[[#This Row],[City]] &amp;" - "&amp; List_of_Orders_PBI[[#This Row],[State]])</f>
        <v>Mumbai - Maharashtra</v>
      </c>
    </row>
    <row r="365" spans="1:15" x14ac:dyDescent="0.3">
      <c r="A365" t="s">
        <v>389</v>
      </c>
      <c r="B365">
        <v>199</v>
      </c>
      <c r="C365">
        <v>0</v>
      </c>
      <c r="D365">
        <v>4</v>
      </c>
      <c r="E365" t="s">
        <v>9</v>
      </c>
      <c r="F365" t="s">
        <v>10</v>
      </c>
      <c r="G365">
        <f>Order_Details_PBI[[#This Row],[Profit]]/Order_Details_PBI[[#This Row],[Amount]]</f>
        <v>0</v>
      </c>
      <c r="H365" t="str">
        <f>IF(Order_Details_PBI[[#This Row],[Profit Margine]]&lt;0," Loss",IF(Order_Details_PBI[[#This Row],[Profit Margine]]=0," Break-Even","Profit"))</f>
        <v xml:space="preserve"> Break-Even</v>
      </c>
      <c r="I365" s="2">
        <v>43485</v>
      </c>
      <c r="J365" t="s">
        <v>877</v>
      </c>
      <c r="K365" t="str">
        <f>UPPER(List_of_Orders_PBI[[#This Row],[CustomerName]])</f>
        <v>OSHIN</v>
      </c>
      <c r="L365" t="s">
        <v>542</v>
      </c>
      <c r="M365" t="s">
        <v>597</v>
      </c>
      <c r="N365" t="str">
        <f>TEXT(List_of_Orders_PBI[[#This Row],[Order Date]],"DD-MMM-YYYY")</f>
        <v>20-Jan-2019</v>
      </c>
      <c r="O365" t="str">
        <f>_xlfn.CONCAT(List_of_Orders_PBI[[#This Row],[City]] &amp;" - "&amp; List_of_Orders_PBI[[#This Row],[State]])</f>
        <v>Indore - Madhya Pradesh</v>
      </c>
    </row>
    <row r="366" spans="1:15" x14ac:dyDescent="0.3">
      <c r="A366" t="s">
        <v>390</v>
      </c>
      <c r="B366">
        <v>17</v>
      </c>
      <c r="C366">
        <v>7</v>
      </c>
      <c r="D366">
        <v>3</v>
      </c>
      <c r="E366" t="s">
        <v>9</v>
      </c>
      <c r="F366" t="s">
        <v>11</v>
      </c>
      <c r="G366">
        <f>Order_Details_PBI[[#This Row],[Profit]]/Order_Details_PBI[[#This Row],[Amount]]</f>
        <v>0.41176470588235292</v>
      </c>
      <c r="H366" t="str">
        <f>IF(Order_Details_PBI[[#This Row],[Profit Margine]]&lt;0," Loss",IF(Order_Details_PBI[[#This Row],[Profit Margine]]=0," Break-Even","Profit"))</f>
        <v>Profit</v>
      </c>
      <c r="I366" s="2">
        <v>43486</v>
      </c>
      <c r="J366" t="s">
        <v>878</v>
      </c>
      <c r="K366" t="str">
        <f>UPPER(List_of_Orders_PBI[[#This Row],[CustomerName]])</f>
        <v>SALONI</v>
      </c>
      <c r="L366" t="s">
        <v>548</v>
      </c>
      <c r="M366" t="s">
        <v>549</v>
      </c>
      <c r="N366" t="str">
        <f>TEXT(List_of_Orders_PBI[[#This Row],[Order Date]],"DD-MMM-YYYY")</f>
        <v>21-Jan-2019</v>
      </c>
      <c r="O366" t="str">
        <f>_xlfn.CONCAT(List_of_Orders_PBI[[#This Row],[City]] &amp;" - "&amp; List_of_Orders_PBI[[#This Row],[State]])</f>
        <v>Kolkata - West Bengal</v>
      </c>
    </row>
    <row r="367" spans="1:15" x14ac:dyDescent="0.3">
      <c r="A367" t="s">
        <v>391</v>
      </c>
      <c r="B367">
        <v>510</v>
      </c>
      <c r="C367">
        <v>234</v>
      </c>
      <c r="D367">
        <v>6</v>
      </c>
      <c r="E367" t="s">
        <v>12</v>
      </c>
      <c r="F367" t="s">
        <v>13</v>
      </c>
      <c r="G367">
        <f>Order_Details_PBI[[#This Row],[Profit]]/Order_Details_PBI[[#This Row],[Amount]]</f>
        <v>0.45882352941176469</v>
      </c>
      <c r="H367" t="str">
        <f>IF(Order_Details_PBI[[#This Row],[Profit Margine]]&lt;0," Loss",IF(Order_Details_PBI[[#This Row],[Profit Margine]]=0," Break-Even","Profit"))</f>
        <v>Profit</v>
      </c>
      <c r="I367" s="2">
        <v>43486</v>
      </c>
      <c r="J367" t="s">
        <v>720</v>
      </c>
      <c r="K367" t="str">
        <f>UPPER(List_of_Orders_PBI[[#This Row],[CustomerName]])</f>
        <v>SOUMYA</v>
      </c>
      <c r="L367" t="s">
        <v>545</v>
      </c>
      <c r="M367" t="s">
        <v>810</v>
      </c>
      <c r="N367" t="str">
        <f>TEXT(List_of_Orders_PBI[[#This Row],[Order Date]],"DD-MMM-YYYY")</f>
        <v>21-Jan-2019</v>
      </c>
      <c r="O367" t="str">
        <f>_xlfn.CONCAT(List_of_Orders_PBI[[#This Row],[City]] &amp;" - "&amp; List_of_Orders_PBI[[#This Row],[State]])</f>
        <v>Udaipur - Rajasthan</v>
      </c>
    </row>
    <row r="368" spans="1:15" x14ac:dyDescent="0.3">
      <c r="A368" t="s">
        <v>392</v>
      </c>
      <c r="B368">
        <v>17</v>
      </c>
      <c r="C368">
        <v>2</v>
      </c>
      <c r="D368">
        <v>2</v>
      </c>
      <c r="E368" t="s">
        <v>9</v>
      </c>
      <c r="F368" t="s">
        <v>53</v>
      </c>
      <c r="G368">
        <f>Order_Details_PBI[[#This Row],[Profit]]/Order_Details_PBI[[#This Row],[Amount]]</f>
        <v>0.11764705882352941</v>
      </c>
      <c r="H368" t="str">
        <f>IF(Order_Details_PBI[[#This Row],[Profit Margine]]&lt;0," Loss",IF(Order_Details_PBI[[#This Row],[Profit Margine]]=0," Break-Even","Profit"))</f>
        <v>Profit</v>
      </c>
      <c r="I368" s="2">
        <v>43486</v>
      </c>
      <c r="J368" t="s">
        <v>803</v>
      </c>
      <c r="K368" t="str">
        <f>UPPER(List_of_Orders_PBI[[#This Row],[CustomerName]])</f>
        <v>KOMAL</v>
      </c>
      <c r="L368" t="s">
        <v>560</v>
      </c>
      <c r="M368" t="s">
        <v>812</v>
      </c>
      <c r="N368" t="str">
        <f>TEXT(List_of_Orders_PBI[[#This Row],[Order Date]],"DD-MMM-YYYY")</f>
        <v>21-Jan-2019</v>
      </c>
      <c r="O368" t="str">
        <f>_xlfn.CONCAT(List_of_Orders_PBI[[#This Row],[City]] &amp;" - "&amp; List_of_Orders_PBI[[#This Row],[State]])</f>
        <v>Allahabad - Uttar Pradesh</v>
      </c>
    </row>
    <row r="369" spans="1:15" x14ac:dyDescent="0.3">
      <c r="A369" t="s">
        <v>393</v>
      </c>
      <c r="B369">
        <v>811</v>
      </c>
      <c r="C369">
        <v>154</v>
      </c>
      <c r="D369">
        <v>7</v>
      </c>
      <c r="E369" t="s">
        <v>12</v>
      </c>
      <c r="F369" t="s">
        <v>33</v>
      </c>
      <c r="G369">
        <f>Order_Details_PBI[[#This Row],[Profit]]/Order_Details_PBI[[#This Row],[Amount]]</f>
        <v>0.18988902589395806</v>
      </c>
      <c r="H369" t="str">
        <f>IF(Order_Details_PBI[[#This Row],[Profit Margine]]&lt;0," Loss",IF(Order_Details_PBI[[#This Row],[Profit Margine]]=0," Break-Even","Profit"))</f>
        <v>Profit</v>
      </c>
      <c r="I369" s="2">
        <v>43486</v>
      </c>
      <c r="J369" t="s">
        <v>879</v>
      </c>
      <c r="K369" t="str">
        <f>UPPER(List_of_Orders_PBI[[#This Row],[CustomerName]])</f>
        <v>PAROMITA</v>
      </c>
      <c r="L369" t="s">
        <v>569</v>
      </c>
      <c r="M369" t="s">
        <v>814</v>
      </c>
      <c r="N369" t="str">
        <f>TEXT(List_of_Orders_PBI[[#This Row],[Order Date]],"DD-MMM-YYYY")</f>
        <v>21-Jan-2019</v>
      </c>
      <c r="O369" t="str">
        <f>_xlfn.CONCAT(List_of_Orders_PBI[[#This Row],[City]] &amp;" - "&amp; List_of_Orders_PBI[[#This Row],[State]])</f>
        <v>Amritsar - Punjab</v>
      </c>
    </row>
    <row r="370" spans="1:15" x14ac:dyDescent="0.3">
      <c r="A370" t="s">
        <v>394</v>
      </c>
      <c r="B370">
        <v>720</v>
      </c>
      <c r="C370">
        <v>43</v>
      </c>
      <c r="D370">
        <v>2</v>
      </c>
      <c r="E370" t="s">
        <v>12</v>
      </c>
      <c r="F370" t="s">
        <v>30</v>
      </c>
      <c r="G370">
        <f>Order_Details_PBI[[#This Row],[Profit]]/Order_Details_PBI[[#This Row],[Amount]]</f>
        <v>5.9722222222222225E-2</v>
      </c>
      <c r="H370" t="str">
        <f>IF(Order_Details_PBI[[#This Row],[Profit Margine]]&lt;0," Loss",IF(Order_Details_PBI[[#This Row],[Profit Margine]]=0," Break-Even","Profit"))</f>
        <v>Profit</v>
      </c>
      <c r="I370" s="2">
        <v>43486</v>
      </c>
      <c r="J370" t="s">
        <v>880</v>
      </c>
      <c r="K370" t="str">
        <f>UPPER(List_of_Orders_PBI[[#This Row],[CustomerName]])</f>
        <v>SHREYSHI</v>
      </c>
      <c r="L370" t="s">
        <v>536</v>
      </c>
      <c r="M370" t="s">
        <v>807</v>
      </c>
      <c r="N370" t="str">
        <f>TEXT(List_of_Orders_PBI[[#This Row],[Order Date]],"DD-MMM-YYYY")</f>
        <v>21-Jan-2019</v>
      </c>
      <c r="O370" t="str">
        <f>_xlfn.CONCAT(List_of_Orders_PBI[[#This Row],[City]] &amp;" - "&amp; List_of_Orders_PBI[[#This Row],[State]])</f>
        <v>Surat - Gujarat</v>
      </c>
    </row>
    <row r="371" spans="1:15" x14ac:dyDescent="0.3">
      <c r="A371" t="s">
        <v>395</v>
      </c>
      <c r="B371">
        <v>203</v>
      </c>
      <c r="C371">
        <v>84</v>
      </c>
      <c r="D371">
        <v>2</v>
      </c>
      <c r="E371" t="s">
        <v>12</v>
      </c>
      <c r="F371" t="s">
        <v>30</v>
      </c>
      <c r="G371">
        <f>Order_Details_PBI[[#This Row],[Profit]]/Order_Details_PBI[[#This Row],[Amount]]</f>
        <v>0.41379310344827586</v>
      </c>
      <c r="H371" t="str">
        <f>IF(Order_Details_PBI[[#This Row],[Profit Margine]]&lt;0," Loss",IF(Order_Details_PBI[[#This Row],[Profit Margine]]=0," Break-Even","Profit"))</f>
        <v>Profit</v>
      </c>
      <c r="I371" s="2">
        <v>43487</v>
      </c>
      <c r="J371" t="s">
        <v>638</v>
      </c>
      <c r="K371" t="str">
        <f>UPPER(List_of_Orders_PBI[[#This Row],[CustomerName]])</f>
        <v>RHEA</v>
      </c>
      <c r="L371" t="s">
        <v>539</v>
      </c>
      <c r="M371" t="s">
        <v>595</v>
      </c>
      <c r="N371" t="str">
        <f>TEXT(List_of_Orders_PBI[[#This Row],[Order Date]],"DD-MMM-YYYY")</f>
        <v>22-Jan-2019</v>
      </c>
      <c r="O371" t="str">
        <f>_xlfn.CONCAT(List_of_Orders_PBI[[#This Row],[City]] &amp;" - "&amp; List_of_Orders_PBI[[#This Row],[State]])</f>
        <v>Mumbai - Maharashtra</v>
      </c>
    </row>
    <row r="372" spans="1:15" x14ac:dyDescent="0.3">
      <c r="A372" t="s">
        <v>396</v>
      </c>
      <c r="B372">
        <v>244</v>
      </c>
      <c r="C372">
        <v>83</v>
      </c>
      <c r="D372">
        <v>2</v>
      </c>
      <c r="E372" t="s">
        <v>7</v>
      </c>
      <c r="F372" t="s">
        <v>8</v>
      </c>
      <c r="G372">
        <f>Order_Details_PBI[[#This Row],[Profit]]/Order_Details_PBI[[#This Row],[Amount]]</f>
        <v>0.3401639344262295</v>
      </c>
      <c r="H372" t="str">
        <f>IF(Order_Details_PBI[[#This Row],[Profit Margine]]&lt;0," Loss",IF(Order_Details_PBI[[#This Row],[Profit Margine]]=0," Break-Even","Profit"))</f>
        <v>Profit</v>
      </c>
      <c r="I372" s="2">
        <v>43487</v>
      </c>
      <c r="J372" t="s">
        <v>641</v>
      </c>
      <c r="K372" t="str">
        <f>UPPER(List_of_Orders_PBI[[#This Row],[CustomerName]])</f>
        <v>MITALI</v>
      </c>
      <c r="L372" t="s">
        <v>542</v>
      </c>
      <c r="M372" t="s">
        <v>597</v>
      </c>
      <c r="N372" t="str">
        <f>TEXT(List_of_Orders_PBI[[#This Row],[Order Date]],"DD-MMM-YYYY")</f>
        <v>22-Jan-2019</v>
      </c>
      <c r="O372" t="str">
        <f>_xlfn.CONCAT(List_of_Orders_PBI[[#This Row],[City]] &amp;" - "&amp; List_of_Orders_PBI[[#This Row],[State]])</f>
        <v>Indore - Madhya Pradesh</v>
      </c>
    </row>
    <row r="373" spans="1:15" x14ac:dyDescent="0.3">
      <c r="A373" t="s">
        <v>397</v>
      </c>
      <c r="B373">
        <v>115</v>
      </c>
      <c r="C373">
        <v>47</v>
      </c>
      <c r="D373">
        <v>2</v>
      </c>
      <c r="E373" t="s">
        <v>12</v>
      </c>
      <c r="F373" t="s">
        <v>33</v>
      </c>
      <c r="G373">
        <f>Order_Details_PBI[[#This Row],[Profit]]/Order_Details_PBI[[#This Row],[Amount]]</f>
        <v>0.40869565217391307</v>
      </c>
      <c r="H373" t="str">
        <f>IF(Order_Details_PBI[[#This Row],[Profit Margine]]&lt;0," Loss",IF(Order_Details_PBI[[#This Row],[Profit Margine]]=0," Break-Even","Profit"))</f>
        <v>Profit</v>
      </c>
      <c r="I373" s="2">
        <v>43488</v>
      </c>
      <c r="J373" t="s">
        <v>881</v>
      </c>
      <c r="K373" t="str">
        <f>UPPER(List_of_Orders_PBI[[#This Row],[CustomerName]])</f>
        <v>JESSLYN</v>
      </c>
      <c r="L373" t="s">
        <v>545</v>
      </c>
      <c r="M373" t="s">
        <v>810</v>
      </c>
      <c r="N373" t="str">
        <f>TEXT(List_of_Orders_PBI[[#This Row],[Order Date]],"DD-MMM-YYYY")</f>
        <v>23-Jan-2019</v>
      </c>
      <c r="O373" t="str">
        <f>_xlfn.CONCAT(List_of_Orders_PBI[[#This Row],[City]] &amp;" - "&amp; List_of_Orders_PBI[[#This Row],[State]])</f>
        <v>Udaipur - Rajasthan</v>
      </c>
    </row>
    <row r="374" spans="1:15" x14ac:dyDescent="0.3">
      <c r="A374" t="s">
        <v>398</v>
      </c>
      <c r="B374">
        <v>571</v>
      </c>
      <c r="C374">
        <v>108</v>
      </c>
      <c r="D374">
        <v>12</v>
      </c>
      <c r="E374" t="s">
        <v>9</v>
      </c>
      <c r="F374" t="s">
        <v>10</v>
      </c>
      <c r="G374">
        <f>Order_Details_PBI[[#This Row],[Profit]]/Order_Details_PBI[[#This Row],[Amount]]</f>
        <v>0.18914185639229422</v>
      </c>
      <c r="H374" t="str">
        <f>IF(Order_Details_PBI[[#This Row],[Profit Margine]]&lt;0," Loss",IF(Order_Details_PBI[[#This Row],[Profit Margine]]=0," Break-Even","Profit"))</f>
        <v>Profit</v>
      </c>
      <c r="I374" s="2">
        <v>43489</v>
      </c>
      <c r="J374" t="s">
        <v>882</v>
      </c>
      <c r="K374" t="str">
        <f>UPPER(List_of_Orders_PBI[[#This Row],[CustomerName]])</f>
        <v>SEEMA</v>
      </c>
      <c r="L374" t="s">
        <v>560</v>
      </c>
      <c r="M374" t="s">
        <v>812</v>
      </c>
      <c r="N374" t="str">
        <f>TEXT(List_of_Orders_PBI[[#This Row],[Order Date]],"DD-MMM-YYYY")</f>
        <v>24-Jan-2019</v>
      </c>
      <c r="O374" t="str">
        <f>_xlfn.CONCAT(List_of_Orders_PBI[[#This Row],[City]] &amp;" - "&amp; List_of_Orders_PBI[[#This Row],[State]])</f>
        <v>Allahabad - Uttar Pradesh</v>
      </c>
    </row>
    <row r="375" spans="1:15" x14ac:dyDescent="0.3">
      <c r="A375" t="s">
        <v>399</v>
      </c>
      <c r="B375">
        <v>662</v>
      </c>
      <c r="C375">
        <v>240</v>
      </c>
      <c r="D375">
        <v>2</v>
      </c>
      <c r="E375" t="s">
        <v>7</v>
      </c>
      <c r="F375" t="s">
        <v>8</v>
      </c>
      <c r="G375">
        <f>Order_Details_PBI[[#This Row],[Profit]]/Order_Details_PBI[[#This Row],[Amount]]</f>
        <v>0.36253776435045315</v>
      </c>
      <c r="H375" t="str">
        <f>IF(Order_Details_PBI[[#This Row],[Profit Margine]]&lt;0," Loss",IF(Order_Details_PBI[[#This Row],[Profit Margine]]=0," Break-Even","Profit"))</f>
        <v>Profit</v>
      </c>
      <c r="I375" s="2">
        <v>43490</v>
      </c>
      <c r="J375" t="s">
        <v>883</v>
      </c>
      <c r="K375" t="str">
        <f>UPPER(List_of_Orders_PBI[[#This Row],[CustomerName]])</f>
        <v>MANISHA</v>
      </c>
      <c r="L375" t="s">
        <v>545</v>
      </c>
      <c r="M375" t="s">
        <v>810</v>
      </c>
      <c r="N375" t="str">
        <f>TEXT(List_of_Orders_PBI[[#This Row],[Order Date]],"DD-MMM-YYYY")</f>
        <v>25-Jan-2019</v>
      </c>
      <c r="O375" t="str">
        <f>_xlfn.CONCAT(List_of_Orders_PBI[[#This Row],[City]] &amp;" - "&amp; List_of_Orders_PBI[[#This Row],[State]])</f>
        <v>Udaipur - Rajasthan</v>
      </c>
    </row>
    <row r="376" spans="1:15" x14ac:dyDescent="0.3">
      <c r="A376" t="s">
        <v>400</v>
      </c>
      <c r="B376">
        <v>29</v>
      </c>
      <c r="C376">
        <v>2</v>
      </c>
      <c r="D376">
        <v>3</v>
      </c>
      <c r="E376" t="s">
        <v>9</v>
      </c>
      <c r="F376" t="s">
        <v>53</v>
      </c>
      <c r="G376">
        <f>Order_Details_PBI[[#This Row],[Profit]]/Order_Details_PBI[[#This Row],[Amount]]</f>
        <v>6.8965517241379309E-2</v>
      </c>
      <c r="H376" t="str">
        <f>IF(Order_Details_PBI[[#This Row],[Profit Margine]]&lt;0," Loss",IF(Order_Details_PBI[[#This Row],[Profit Margine]]=0," Break-Even","Profit"))</f>
        <v>Profit</v>
      </c>
      <c r="I376" s="2">
        <v>43490</v>
      </c>
      <c r="J376" t="s">
        <v>626</v>
      </c>
      <c r="K376" t="str">
        <f>UPPER(List_of_Orders_PBI[[#This Row],[CustomerName]])</f>
        <v>PRIYANKA</v>
      </c>
      <c r="L376" t="s">
        <v>560</v>
      </c>
      <c r="M376" t="s">
        <v>812</v>
      </c>
      <c r="N376" t="str">
        <f>TEXT(List_of_Orders_PBI[[#This Row],[Order Date]],"DD-MMM-YYYY")</f>
        <v>25-Jan-2019</v>
      </c>
      <c r="O376" t="str">
        <f>_xlfn.CONCAT(List_of_Orders_PBI[[#This Row],[City]] &amp;" - "&amp; List_of_Orders_PBI[[#This Row],[State]])</f>
        <v>Allahabad - Uttar Pradesh</v>
      </c>
    </row>
    <row r="377" spans="1:15" x14ac:dyDescent="0.3">
      <c r="A377" t="s">
        <v>401</v>
      </c>
      <c r="B377">
        <v>193</v>
      </c>
      <c r="C377">
        <v>8</v>
      </c>
      <c r="D377">
        <v>4</v>
      </c>
      <c r="E377" t="s">
        <v>9</v>
      </c>
      <c r="F377" t="s">
        <v>22</v>
      </c>
      <c r="G377">
        <f>Order_Details_PBI[[#This Row],[Profit]]/Order_Details_PBI[[#This Row],[Amount]]</f>
        <v>4.145077720207254E-2</v>
      </c>
      <c r="H377" t="str">
        <f>IF(Order_Details_PBI[[#This Row],[Profit Margine]]&lt;0," Loss",IF(Order_Details_PBI[[#This Row],[Profit Margine]]=0," Break-Even","Profit"))</f>
        <v>Profit</v>
      </c>
      <c r="I377" s="2">
        <v>43490</v>
      </c>
      <c r="J377" t="s">
        <v>884</v>
      </c>
      <c r="K377" t="str">
        <f>UPPER(List_of_Orders_PBI[[#This Row],[CustomerName]])</f>
        <v>PIYAM</v>
      </c>
      <c r="L377" t="s">
        <v>569</v>
      </c>
      <c r="M377" t="s">
        <v>814</v>
      </c>
      <c r="N377" t="str">
        <f>TEXT(List_of_Orders_PBI[[#This Row],[Order Date]],"DD-MMM-YYYY")</f>
        <v>25-Jan-2019</v>
      </c>
      <c r="O377" t="str">
        <f>_xlfn.CONCAT(List_of_Orders_PBI[[#This Row],[City]] &amp;" - "&amp; List_of_Orders_PBI[[#This Row],[State]])</f>
        <v>Amritsar - Punjab</v>
      </c>
    </row>
    <row r="378" spans="1:15" x14ac:dyDescent="0.3">
      <c r="A378" t="s">
        <v>402</v>
      </c>
      <c r="B378">
        <v>27</v>
      </c>
      <c r="C378">
        <v>1</v>
      </c>
      <c r="D378">
        <v>1</v>
      </c>
      <c r="E378" t="s">
        <v>9</v>
      </c>
      <c r="F378" t="s">
        <v>10</v>
      </c>
      <c r="G378">
        <f>Order_Details_PBI[[#This Row],[Profit]]/Order_Details_PBI[[#This Row],[Amount]]</f>
        <v>3.7037037037037035E-2</v>
      </c>
      <c r="H378" t="str">
        <f>IF(Order_Details_PBI[[#This Row],[Profit Margine]]&lt;0," Loss",IF(Order_Details_PBI[[#This Row],[Profit Margine]]=0," Break-Even","Profit"))</f>
        <v>Profit</v>
      </c>
      <c r="I378" s="2">
        <v>43492</v>
      </c>
      <c r="J378" t="s">
        <v>650</v>
      </c>
      <c r="K378" t="str">
        <f>UPPER(List_of_Orders_PBI[[#This Row],[CustomerName]])</f>
        <v>AAYUSHI</v>
      </c>
      <c r="L378" t="s">
        <v>536</v>
      </c>
      <c r="M378" t="s">
        <v>807</v>
      </c>
      <c r="N378" t="str">
        <f>TEXT(List_of_Orders_PBI[[#This Row],[Order Date]],"DD-MMM-YYYY")</f>
        <v>27-Jan-2019</v>
      </c>
      <c r="O378" t="str">
        <f>_xlfn.CONCAT(List_of_Orders_PBI[[#This Row],[City]] &amp;" - "&amp; List_of_Orders_PBI[[#This Row],[State]])</f>
        <v>Surat - Gujarat</v>
      </c>
    </row>
    <row r="379" spans="1:15" x14ac:dyDescent="0.3">
      <c r="A379" t="s">
        <v>403</v>
      </c>
      <c r="B379">
        <v>1063</v>
      </c>
      <c r="C379">
        <v>-175</v>
      </c>
      <c r="D379">
        <v>4</v>
      </c>
      <c r="E379" t="s">
        <v>12</v>
      </c>
      <c r="F379" t="s">
        <v>13</v>
      </c>
      <c r="G379">
        <f>Order_Details_PBI[[#This Row],[Profit]]/Order_Details_PBI[[#This Row],[Amount]]</f>
        <v>-0.16462841015992474</v>
      </c>
      <c r="H379" t="str">
        <f>IF(Order_Details_PBI[[#This Row],[Profit Margine]]&lt;0," Loss",IF(Order_Details_PBI[[#This Row],[Profit Margine]]=0," Break-Even","Profit"))</f>
        <v xml:space="preserve"> Loss</v>
      </c>
      <c r="I379" s="2">
        <v>43492</v>
      </c>
      <c r="J379" t="s">
        <v>885</v>
      </c>
      <c r="K379" t="str">
        <f>UPPER(List_of_Orders_PBI[[#This Row],[CustomerName]])</f>
        <v>PARIN</v>
      </c>
      <c r="L379" t="s">
        <v>539</v>
      </c>
      <c r="M379" t="s">
        <v>595</v>
      </c>
      <c r="N379" t="str">
        <f>TEXT(List_of_Orders_PBI[[#This Row],[Order Date]],"DD-MMM-YYYY")</f>
        <v>27-Jan-2019</v>
      </c>
      <c r="O379" t="str">
        <f>_xlfn.CONCAT(List_of_Orders_PBI[[#This Row],[City]] &amp;" - "&amp; List_of_Orders_PBI[[#This Row],[State]])</f>
        <v>Mumbai - Maharashtra</v>
      </c>
    </row>
    <row r="380" spans="1:15" x14ac:dyDescent="0.3">
      <c r="A380" t="s">
        <v>404</v>
      </c>
      <c r="B380">
        <v>560</v>
      </c>
      <c r="C380">
        <v>44</v>
      </c>
      <c r="D380">
        <v>3</v>
      </c>
      <c r="E380" t="s">
        <v>9</v>
      </c>
      <c r="F380" t="s">
        <v>16</v>
      </c>
      <c r="G380">
        <f>Order_Details_PBI[[#This Row],[Profit]]/Order_Details_PBI[[#This Row],[Amount]]</f>
        <v>7.857142857142857E-2</v>
      </c>
      <c r="H380" t="str">
        <f>IF(Order_Details_PBI[[#This Row],[Profit Margine]]&lt;0," Loss",IF(Order_Details_PBI[[#This Row],[Profit Margine]]=0," Break-Even","Profit"))</f>
        <v>Profit</v>
      </c>
      <c r="I380" s="2">
        <v>43492</v>
      </c>
      <c r="J380" t="s">
        <v>737</v>
      </c>
      <c r="K380" t="str">
        <f>UPPER(List_of_Orders_PBI[[#This Row],[CustomerName]])</f>
        <v>SHIVANGI</v>
      </c>
      <c r="L380" t="s">
        <v>542</v>
      </c>
      <c r="M380" t="s">
        <v>597</v>
      </c>
      <c r="N380" t="str">
        <f>TEXT(List_of_Orders_PBI[[#This Row],[Order Date]],"DD-MMM-YYYY")</f>
        <v>27-Jan-2019</v>
      </c>
      <c r="O380" t="str">
        <f>_xlfn.CONCAT(List_of_Orders_PBI[[#This Row],[City]] &amp;" - "&amp; List_of_Orders_PBI[[#This Row],[State]])</f>
        <v>Indore - Madhya Pradesh</v>
      </c>
    </row>
    <row r="381" spans="1:15" x14ac:dyDescent="0.3">
      <c r="A381" t="s">
        <v>405</v>
      </c>
      <c r="B381">
        <v>22</v>
      </c>
      <c r="C381">
        <v>11</v>
      </c>
      <c r="D381">
        <v>3</v>
      </c>
      <c r="E381" t="s">
        <v>9</v>
      </c>
      <c r="F381" t="s">
        <v>20</v>
      </c>
      <c r="G381">
        <f>Order_Details_PBI[[#This Row],[Profit]]/Order_Details_PBI[[#This Row],[Amount]]</f>
        <v>0.5</v>
      </c>
      <c r="H381" t="str">
        <f>IF(Order_Details_PBI[[#This Row],[Profit Margine]]&lt;0," Loss",IF(Order_Details_PBI[[#This Row],[Profit Margine]]=0," Break-Even","Profit"))</f>
        <v>Profit</v>
      </c>
      <c r="I381" s="2">
        <v>43492</v>
      </c>
      <c r="J381" t="s">
        <v>672</v>
      </c>
      <c r="K381" t="str">
        <f>UPPER(List_of_Orders_PBI[[#This Row],[CustomerName]])</f>
        <v>SHWETA</v>
      </c>
      <c r="L381" t="s">
        <v>545</v>
      </c>
      <c r="M381" t="s">
        <v>810</v>
      </c>
      <c r="N381" t="str">
        <f>TEXT(List_of_Orders_PBI[[#This Row],[Order Date]],"DD-MMM-YYYY")</f>
        <v>27-Jan-2019</v>
      </c>
      <c r="O381" t="str">
        <f>_xlfn.CONCAT(List_of_Orders_PBI[[#This Row],[City]] &amp;" - "&amp; List_of_Orders_PBI[[#This Row],[State]])</f>
        <v>Udaipur - Rajasthan</v>
      </c>
    </row>
    <row r="382" spans="1:15" x14ac:dyDescent="0.3">
      <c r="A382" t="s">
        <v>406</v>
      </c>
      <c r="B382">
        <v>42</v>
      </c>
      <c r="C382">
        <v>13</v>
      </c>
      <c r="D382">
        <v>3</v>
      </c>
      <c r="E382" t="s">
        <v>9</v>
      </c>
      <c r="F382" t="s">
        <v>27</v>
      </c>
      <c r="G382">
        <f>Order_Details_PBI[[#This Row],[Profit]]/Order_Details_PBI[[#This Row],[Amount]]</f>
        <v>0.30952380952380953</v>
      </c>
      <c r="H382" t="str">
        <f>IF(Order_Details_PBI[[#This Row],[Profit Margine]]&lt;0," Loss",IF(Order_Details_PBI[[#This Row],[Profit Margine]]=0," Break-Even","Profit"))</f>
        <v>Profit</v>
      </c>
      <c r="I382" s="2">
        <v>43493</v>
      </c>
      <c r="J382" t="s">
        <v>886</v>
      </c>
      <c r="K382" t="str">
        <f>UPPER(List_of_Orders_PBI[[#This Row],[CustomerName]])</f>
        <v>AMRUTA</v>
      </c>
      <c r="L382" t="s">
        <v>832</v>
      </c>
      <c r="M382" t="s">
        <v>832</v>
      </c>
      <c r="N382" t="str">
        <f>TEXT(List_of_Orders_PBI[[#This Row],[Order Date]],"DD-MMM-YYYY")</f>
        <v>28-Jan-2019</v>
      </c>
      <c r="O382" t="str">
        <f>_xlfn.CONCAT(List_of_Orders_PBI[[#This Row],[City]] &amp;" - "&amp; List_of_Orders_PBI[[#This Row],[State]])</f>
        <v>Delhi - Delhi</v>
      </c>
    </row>
    <row r="383" spans="1:15" x14ac:dyDescent="0.3">
      <c r="A383" t="s">
        <v>407</v>
      </c>
      <c r="B383">
        <v>13</v>
      </c>
      <c r="C383">
        <v>3</v>
      </c>
      <c r="D383">
        <v>1</v>
      </c>
      <c r="E383" t="s">
        <v>9</v>
      </c>
      <c r="F383" t="s">
        <v>27</v>
      </c>
      <c r="G383">
        <f>Order_Details_PBI[[#This Row],[Profit]]/Order_Details_PBI[[#This Row],[Amount]]</f>
        <v>0.23076923076923078</v>
      </c>
      <c r="H383" t="str">
        <f>IF(Order_Details_PBI[[#This Row],[Profit Margine]]&lt;0," Loss",IF(Order_Details_PBI[[#This Row],[Profit Margine]]=0," Break-Even","Profit"))</f>
        <v>Profit</v>
      </c>
      <c r="I383" s="2">
        <v>43494</v>
      </c>
      <c r="J383" t="s">
        <v>887</v>
      </c>
      <c r="K383" t="str">
        <f>UPPER(List_of_Orders_PBI[[#This Row],[CustomerName]])</f>
        <v>HEMANGI</v>
      </c>
      <c r="L383" t="s">
        <v>832</v>
      </c>
      <c r="M383" t="s">
        <v>832</v>
      </c>
      <c r="N383" t="str">
        <f>TEXT(List_of_Orders_PBI[[#This Row],[Order Date]],"DD-MMM-YYYY")</f>
        <v>29-Jan-2019</v>
      </c>
      <c r="O383" t="str">
        <f>_xlfn.CONCAT(List_of_Orders_PBI[[#This Row],[City]] &amp;" - "&amp; List_of_Orders_PBI[[#This Row],[State]])</f>
        <v>Delhi - Delhi</v>
      </c>
    </row>
    <row r="384" spans="1:15" x14ac:dyDescent="0.3">
      <c r="A384" t="s">
        <v>408</v>
      </c>
      <c r="B384">
        <v>230</v>
      </c>
      <c r="C384">
        <v>5</v>
      </c>
      <c r="D384">
        <v>2</v>
      </c>
      <c r="E384" t="s">
        <v>9</v>
      </c>
      <c r="F384" t="s">
        <v>16</v>
      </c>
      <c r="G384">
        <f>Order_Details_PBI[[#This Row],[Profit]]/Order_Details_PBI[[#This Row],[Amount]]</f>
        <v>2.1739130434782608E-2</v>
      </c>
      <c r="H384" t="str">
        <f>IF(Order_Details_PBI[[#This Row],[Profit Margine]]&lt;0," Loss",IF(Order_Details_PBI[[#This Row],[Profit Margine]]=0," Break-Even","Profit"))</f>
        <v>Profit</v>
      </c>
      <c r="I384" s="2">
        <v>43495</v>
      </c>
      <c r="J384" t="s">
        <v>888</v>
      </c>
      <c r="K384" t="str">
        <f>UPPER(List_of_Orders_PBI[[#This Row],[CustomerName]])</f>
        <v>ATUL</v>
      </c>
      <c r="L384" t="s">
        <v>832</v>
      </c>
      <c r="M384" t="s">
        <v>832</v>
      </c>
      <c r="N384" t="str">
        <f>TEXT(List_of_Orders_PBI[[#This Row],[Order Date]],"DD-MMM-YYYY")</f>
        <v>30-Jan-2019</v>
      </c>
      <c r="O384" t="str">
        <f>_xlfn.CONCAT(List_of_Orders_PBI[[#This Row],[City]] &amp;" - "&amp; List_of_Orders_PBI[[#This Row],[State]])</f>
        <v>Delhi - Delhi</v>
      </c>
    </row>
    <row r="385" spans="1:15" x14ac:dyDescent="0.3">
      <c r="A385" t="s">
        <v>409</v>
      </c>
      <c r="B385">
        <v>304</v>
      </c>
      <c r="C385">
        <v>97</v>
      </c>
      <c r="D385">
        <v>6</v>
      </c>
      <c r="E385" t="s">
        <v>9</v>
      </c>
      <c r="F385" t="s">
        <v>10</v>
      </c>
      <c r="G385">
        <f>Order_Details_PBI[[#This Row],[Profit]]/Order_Details_PBI[[#This Row],[Amount]]</f>
        <v>0.31907894736842107</v>
      </c>
      <c r="H385" t="str">
        <f>IF(Order_Details_PBI[[#This Row],[Profit Margine]]&lt;0," Loss",IF(Order_Details_PBI[[#This Row],[Profit Margine]]=0," Break-Even","Profit"))</f>
        <v>Profit</v>
      </c>
      <c r="I385" s="2">
        <v>43495</v>
      </c>
      <c r="J385" t="s">
        <v>842</v>
      </c>
      <c r="K385" t="str">
        <f>UPPER(List_of_Orders_PBI[[#This Row],[CustomerName]])</f>
        <v>KAJAL</v>
      </c>
      <c r="L385" t="s">
        <v>832</v>
      </c>
      <c r="M385" t="s">
        <v>832</v>
      </c>
      <c r="N385" t="str">
        <f>TEXT(List_of_Orders_PBI[[#This Row],[Order Date]],"DD-MMM-YYYY")</f>
        <v>30-Jan-2019</v>
      </c>
      <c r="O385" t="str">
        <f>_xlfn.CONCAT(List_of_Orders_PBI[[#This Row],[City]] &amp;" - "&amp; List_of_Orders_PBI[[#This Row],[State]])</f>
        <v>Delhi - Delhi</v>
      </c>
    </row>
    <row r="386" spans="1:15" x14ac:dyDescent="0.3">
      <c r="A386" t="s">
        <v>410</v>
      </c>
      <c r="B386">
        <v>197</v>
      </c>
      <c r="C386">
        <v>20</v>
      </c>
      <c r="D386">
        <v>4</v>
      </c>
      <c r="E386" t="s">
        <v>9</v>
      </c>
      <c r="F386" t="s">
        <v>20</v>
      </c>
      <c r="G386">
        <f>Order_Details_PBI[[#This Row],[Profit]]/Order_Details_PBI[[#This Row],[Amount]]</f>
        <v>0.10152284263959391</v>
      </c>
      <c r="H386" t="str">
        <f>IF(Order_Details_PBI[[#This Row],[Profit Margine]]&lt;0," Loss",IF(Order_Details_PBI[[#This Row],[Profit Margine]]=0," Break-Even","Profit"))</f>
        <v>Profit</v>
      </c>
      <c r="I386" s="2">
        <v>43496</v>
      </c>
      <c r="J386" t="s">
        <v>889</v>
      </c>
      <c r="K386" t="str">
        <f>UPPER(List_of_Orders_PBI[[#This Row],[CustomerName]])</f>
        <v>GINNY</v>
      </c>
      <c r="L386" t="s">
        <v>542</v>
      </c>
      <c r="M386" t="s">
        <v>597</v>
      </c>
      <c r="N386" t="str">
        <f>TEXT(List_of_Orders_PBI[[#This Row],[Order Date]],"DD-MMM-YYYY")</f>
        <v>31-Jan-2019</v>
      </c>
      <c r="O386" t="str">
        <f>_xlfn.CONCAT(List_of_Orders_PBI[[#This Row],[City]] &amp;" - "&amp; List_of_Orders_PBI[[#This Row],[State]])</f>
        <v>Indore - Madhya Pradesh</v>
      </c>
    </row>
    <row r="387" spans="1:15" x14ac:dyDescent="0.3">
      <c r="A387" t="s">
        <v>411</v>
      </c>
      <c r="B387">
        <v>749</v>
      </c>
      <c r="C387">
        <v>307</v>
      </c>
      <c r="D387">
        <v>7</v>
      </c>
      <c r="E387" t="s">
        <v>7</v>
      </c>
      <c r="F387" t="s">
        <v>34</v>
      </c>
      <c r="G387">
        <f>Order_Details_PBI[[#This Row],[Profit]]/Order_Details_PBI[[#This Row],[Amount]]</f>
        <v>0.40987983978638182</v>
      </c>
      <c r="H387" t="str">
        <f>IF(Order_Details_PBI[[#This Row],[Profit Margine]]&lt;0," Loss",IF(Order_Details_PBI[[#This Row],[Profit Margine]]=0," Break-Even","Profit"))</f>
        <v>Profit</v>
      </c>
      <c r="I387" s="2">
        <v>43496</v>
      </c>
      <c r="J387" t="s">
        <v>672</v>
      </c>
      <c r="K387" t="str">
        <f>UPPER(List_of_Orders_PBI[[#This Row],[CustomerName]])</f>
        <v>SHWETA</v>
      </c>
      <c r="L387" t="s">
        <v>545</v>
      </c>
      <c r="M387" t="s">
        <v>810</v>
      </c>
      <c r="N387" t="str">
        <f>TEXT(List_of_Orders_PBI[[#This Row],[Order Date]],"DD-MMM-YYYY")</f>
        <v>31-Jan-2019</v>
      </c>
      <c r="O387" t="str">
        <f>_xlfn.CONCAT(List_of_Orders_PBI[[#This Row],[City]] &amp;" - "&amp; List_of_Orders_PBI[[#This Row],[State]])</f>
        <v>Udaipur - Rajasthan</v>
      </c>
    </row>
    <row r="388" spans="1:15" x14ac:dyDescent="0.3">
      <c r="A388" t="s">
        <v>412</v>
      </c>
      <c r="B388">
        <v>299</v>
      </c>
      <c r="C388">
        <v>0</v>
      </c>
      <c r="D388">
        <v>6</v>
      </c>
      <c r="E388" t="s">
        <v>9</v>
      </c>
      <c r="F388" t="s">
        <v>10</v>
      </c>
      <c r="G388">
        <f>Order_Details_PBI[[#This Row],[Profit]]/Order_Details_PBI[[#This Row],[Amount]]</f>
        <v>0</v>
      </c>
      <c r="H388" t="str">
        <f>IF(Order_Details_PBI[[#This Row],[Profit Margine]]&lt;0," Loss",IF(Order_Details_PBI[[#This Row],[Profit Margine]]=0," Break-Even","Profit"))</f>
        <v xml:space="preserve"> Break-Even</v>
      </c>
      <c r="I388" s="2">
        <v>43496</v>
      </c>
      <c r="J388" t="s">
        <v>890</v>
      </c>
      <c r="K388" t="str">
        <f>UPPER(List_of_Orders_PBI[[#This Row],[CustomerName]])</f>
        <v>MANJIRI</v>
      </c>
      <c r="L388" t="s">
        <v>832</v>
      </c>
      <c r="M388" t="s">
        <v>832</v>
      </c>
      <c r="N388" t="str">
        <f>TEXT(List_of_Orders_PBI[[#This Row],[Order Date]],"DD-MMM-YYYY")</f>
        <v>31-Jan-2019</v>
      </c>
      <c r="O388" t="str">
        <f>_xlfn.CONCAT(List_of_Orders_PBI[[#This Row],[City]] &amp;" - "&amp; List_of_Orders_PBI[[#This Row],[State]])</f>
        <v>Delhi - Delhi</v>
      </c>
    </row>
    <row r="389" spans="1:15" x14ac:dyDescent="0.3">
      <c r="A389" t="s">
        <v>413</v>
      </c>
      <c r="B389">
        <v>79</v>
      </c>
      <c r="C389">
        <v>24</v>
      </c>
      <c r="D389">
        <v>9</v>
      </c>
      <c r="E389" t="s">
        <v>9</v>
      </c>
      <c r="F389" t="s">
        <v>53</v>
      </c>
      <c r="G389">
        <f>Order_Details_PBI[[#This Row],[Profit]]/Order_Details_PBI[[#This Row],[Amount]]</f>
        <v>0.30379746835443039</v>
      </c>
      <c r="H389" t="str">
        <f>IF(Order_Details_PBI[[#This Row],[Profit Margine]]&lt;0," Loss",IF(Order_Details_PBI[[#This Row],[Profit Margine]]=0," Break-Even","Profit"))</f>
        <v>Profit</v>
      </c>
      <c r="I389" s="2">
        <v>43496</v>
      </c>
      <c r="J389" t="s">
        <v>891</v>
      </c>
      <c r="K389" t="str">
        <f>UPPER(List_of_Orders_PBI[[#This Row],[CustomerName]])</f>
        <v>NIRJA</v>
      </c>
      <c r="L389" t="s">
        <v>832</v>
      </c>
      <c r="M389" t="s">
        <v>832</v>
      </c>
      <c r="N389" t="str">
        <f>TEXT(List_of_Orders_PBI[[#This Row],[Order Date]],"DD-MMM-YYYY")</f>
        <v>31-Jan-2019</v>
      </c>
      <c r="O389" t="str">
        <f>_xlfn.CONCAT(List_of_Orders_PBI[[#This Row],[City]] &amp;" - "&amp; List_of_Orders_PBI[[#This Row],[State]])</f>
        <v>Delhi - Delhi</v>
      </c>
    </row>
    <row r="390" spans="1:15" x14ac:dyDescent="0.3">
      <c r="A390" t="s">
        <v>414</v>
      </c>
      <c r="B390">
        <v>44</v>
      </c>
      <c r="C390">
        <v>14</v>
      </c>
      <c r="D390">
        <v>3</v>
      </c>
      <c r="E390" t="s">
        <v>9</v>
      </c>
      <c r="F390" t="s">
        <v>11</v>
      </c>
      <c r="G390">
        <f>Order_Details_PBI[[#This Row],[Profit]]/Order_Details_PBI[[#This Row],[Amount]]</f>
        <v>0.31818181818181818</v>
      </c>
      <c r="H390" t="str">
        <f>IF(Order_Details_PBI[[#This Row],[Profit Margine]]&lt;0," Loss",IF(Order_Details_PBI[[#This Row],[Profit Margine]]=0," Break-Even","Profit"))</f>
        <v>Profit</v>
      </c>
      <c r="I390" s="2">
        <v>43497</v>
      </c>
      <c r="J390" t="s">
        <v>637</v>
      </c>
      <c r="K390" t="str">
        <f>UPPER(List_of_Orders_PBI[[#This Row],[CustomerName]])</f>
        <v>ANJALI</v>
      </c>
      <c r="L390" t="s">
        <v>832</v>
      </c>
      <c r="M390" t="s">
        <v>832</v>
      </c>
      <c r="N390" t="str">
        <f>TEXT(List_of_Orders_PBI[[#This Row],[Order Date]],"DD-MMM-YYYY")</f>
        <v>01-Feb-2019</v>
      </c>
      <c r="O390" t="str">
        <f>_xlfn.CONCAT(List_of_Orders_PBI[[#This Row],[City]] &amp;" - "&amp; List_of_Orders_PBI[[#This Row],[State]])</f>
        <v>Delhi - Delhi</v>
      </c>
    </row>
    <row r="391" spans="1:15" x14ac:dyDescent="0.3">
      <c r="A391" t="s">
        <v>415</v>
      </c>
      <c r="B391">
        <v>71</v>
      </c>
      <c r="C391">
        <v>32</v>
      </c>
      <c r="D391">
        <v>3</v>
      </c>
      <c r="E391" t="s">
        <v>9</v>
      </c>
      <c r="F391" t="s">
        <v>16</v>
      </c>
      <c r="G391">
        <f>Order_Details_PBI[[#This Row],[Profit]]/Order_Details_PBI[[#This Row],[Amount]]</f>
        <v>0.45070422535211269</v>
      </c>
      <c r="H391" t="str">
        <f>IF(Order_Details_PBI[[#This Row],[Profit Margine]]&lt;0," Loss",IF(Order_Details_PBI[[#This Row],[Profit Margine]]=0," Break-Even","Profit"))</f>
        <v>Profit</v>
      </c>
      <c r="I391" s="2">
        <v>43498</v>
      </c>
      <c r="J391" t="s">
        <v>892</v>
      </c>
      <c r="K391" t="str">
        <f>UPPER(List_of_Orders_PBI[[#This Row],[CustomerName]])</f>
        <v>MUGDHA</v>
      </c>
      <c r="L391" t="s">
        <v>832</v>
      </c>
      <c r="M391" t="s">
        <v>832</v>
      </c>
      <c r="N391" t="str">
        <f>TEXT(List_of_Orders_PBI[[#This Row],[Order Date]],"DD-MMM-YYYY")</f>
        <v>02-Feb-2019</v>
      </c>
      <c r="O391" t="str">
        <f>_xlfn.CONCAT(List_of_Orders_PBI[[#This Row],[City]] &amp;" - "&amp; List_of_Orders_PBI[[#This Row],[State]])</f>
        <v>Delhi - Delhi</v>
      </c>
    </row>
    <row r="392" spans="1:15" x14ac:dyDescent="0.3">
      <c r="A392" t="s">
        <v>416</v>
      </c>
      <c r="B392">
        <v>188</v>
      </c>
      <c r="C392">
        <v>13</v>
      </c>
      <c r="D392">
        <v>7</v>
      </c>
      <c r="E392" t="s">
        <v>9</v>
      </c>
      <c r="F392" t="s">
        <v>25</v>
      </c>
      <c r="G392">
        <f>Order_Details_PBI[[#This Row],[Profit]]/Order_Details_PBI[[#This Row],[Amount]]</f>
        <v>6.9148936170212769E-2</v>
      </c>
      <c r="H392" t="str">
        <f>IF(Order_Details_PBI[[#This Row],[Profit Margine]]&lt;0," Loss",IF(Order_Details_PBI[[#This Row],[Profit Margine]]=0," Break-Even","Profit"))</f>
        <v>Profit</v>
      </c>
      <c r="I392" s="2">
        <v>43499</v>
      </c>
      <c r="J392" t="s">
        <v>893</v>
      </c>
      <c r="K392" t="str">
        <f>UPPER(List_of_Orders_PBI[[#This Row],[CustomerName]])</f>
        <v>MANSI</v>
      </c>
      <c r="L392" t="s">
        <v>542</v>
      </c>
      <c r="M392" t="s">
        <v>597</v>
      </c>
      <c r="N392" t="str">
        <f>TEXT(List_of_Orders_PBI[[#This Row],[Order Date]],"DD-MMM-YYYY")</f>
        <v>03-Feb-2019</v>
      </c>
      <c r="O392" t="str">
        <f>_xlfn.CONCAT(List_of_Orders_PBI[[#This Row],[City]] &amp;" - "&amp; List_of_Orders_PBI[[#This Row],[State]])</f>
        <v>Indore - Madhya Pradesh</v>
      </c>
    </row>
    <row r="393" spans="1:15" x14ac:dyDescent="0.3">
      <c r="A393" t="s">
        <v>417</v>
      </c>
      <c r="B393">
        <v>141</v>
      </c>
      <c r="C393">
        <v>41</v>
      </c>
      <c r="D393">
        <v>3</v>
      </c>
      <c r="E393" t="s">
        <v>9</v>
      </c>
      <c r="F393" t="s">
        <v>25</v>
      </c>
      <c r="G393">
        <f>Order_Details_PBI[[#This Row],[Profit]]/Order_Details_PBI[[#This Row],[Amount]]</f>
        <v>0.29078014184397161</v>
      </c>
      <c r="H393" t="str">
        <f>IF(Order_Details_PBI[[#This Row],[Profit Margine]]&lt;0," Loss",IF(Order_Details_PBI[[#This Row],[Profit Margine]]=0," Break-Even","Profit"))</f>
        <v>Profit</v>
      </c>
      <c r="I393" s="2">
        <v>43499</v>
      </c>
      <c r="J393" t="s">
        <v>794</v>
      </c>
      <c r="K393" t="str">
        <f>UPPER(List_of_Orders_PBI[[#This Row],[CustomerName]])</f>
        <v>GAURAV</v>
      </c>
      <c r="L393" t="s">
        <v>545</v>
      </c>
      <c r="M393" t="s">
        <v>810</v>
      </c>
      <c r="N393" t="str">
        <f>TEXT(List_of_Orders_PBI[[#This Row],[Order Date]],"DD-MMM-YYYY")</f>
        <v>03-Feb-2019</v>
      </c>
      <c r="O393" t="str">
        <f>_xlfn.CONCAT(List_of_Orders_PBI[[#This Row],[City]] &amp;" - "&amp; List_of_Orders_PBI[[#This Row],[State]])</f>
        <v>Udaipur - Rajasthan</v>
      </c>
    </row>
    <row r="394" spans="1:15" x14ac:dyDescent="0.3">
      <c r="A394" t="s">
        <v>418</v>
      </c>
      <c r="B394">
        <v>44</v>
      </c>
      <c r="C394">
        <v>8</v>
      </c>
      <c r="D394">
        <v>2</v>
      </c>
      <c r="E394" t="s">
        <v>9</v>
      </c>
      <c r="F394" t="s">
        <v>10</v>
      </c>
      <c r="G394">
        <f>Order_Details_PBI[[#This Row],[Profit]]/Order_Details_PBI[[#This Row],[Amount]]</f>
        <v>0.18181818181818182</v>
      </c>
      <c r="H394" t="str">
        <f>IF(Order_Details_PBI[[#This Row],[Profit Margine]]&lt;0," Loss",IF(Order_Details_PBI[[#This Row],[Profit Margine]]=0," Break-Even","Profit"))</f>
        <v>Profit</v>
      </c>
      <c r="I394" s="2">
        <v>43499</v>
      </c>
      <c r="J394" t="s">
        <v>894</v>
      </c>
      <c r="K394" t="str">
        <f>UPPER(List_of_Orders_PBI[[#This Row],[CustomerName]])</f>
        <v>HARSHAL</v>
      </c>
      <c r="L394" t="s">
        <v>832</v>
      </c>
      <c r="M394" t="s">
        <v>832</v>
      </c>
      <c r="N394" t="str">
        <f>TEXT(List_of_Orders_PBI[[#This Row],[Order Date]],"DD-MMM-YYYY")</f>
        <v>03-Feb-2019</v>
      </c>
      <c r="O394" t="str">
        <f>_xlfn.CONCAT(List_of_Orders_PBI[[#This Row],[City]] &amp;" - "&amp; List_of_Orders_PBI[[#This Row],[State]])</f>
        <v>Delhi - Delhi</v>
      </c>
    </row>
    <row r="395" spans="1:15" x14ac:dyDescent="0.3">
      <c r="A395" t="s">
        <v>419</v>
      </c>
      <c r="B395">
        <v>196</v>
      </c>
      <c r="C395">
        <v>-7</v>
      </c>
      <c r="D395">
        <v>5</v>
      </c>
      <c r="E395" t="s">
        <v>12</v>
      </c>
      <c r="F395" t="s">
        <v>15</v>
      </c>
      <c r="G395">
        <f>Order_Details_PBI[[#This Row],[Profit]]/Order_Details_PBI[[#This Row],[Amount]]</f>
        <v>-3.5714285714285712E-2</v>
      </c>
      <c r="H395" t="str">
        <f>IF(Order_Details_PBI[[#This Row],[Profit Margine]]&lt;0," Loss",IF(Order_Details_PBI[[#This Row],[Profit Margine]]=0," Break-Even","Profit"))</f>
        <v xml:space="preserve"> Loss</v>
      </c>
      <c r="I395" s="2">
        <v>43499</v>
      </c>
      <c r="J395" t="s">
        <v>895</v>
      </c>
      <c r="K395" t="str">
        <f>UPPER(List_of_Orders_PBI[[#This Row],[CustomerName]])</f>
        <v>OMKAR</v>
      </c>
      <c r="L395" t="s">
        <v>832</v>
      </c>
      <c r="M395" t="s">
        <v>832</v>
      </c>
      <c r="N395" t="str">
        <f>TEXT(List_of_Orders_PBI[[#This Row],[Order Date]],"DD-MMM-YYYY")</f>
        <v>03-Feb-2019</v>
      </c>
      <c r="O395" t="str">
        <f>_xlfn.CONCAT(List_of_Orders_PBI[[#This Row],[City]] &amp;" - "&amp; List_of_Orders_PBI[[#This Row],[State]])</f>
        <v>Delhi - Delhi</v>
      </c>
    </row>
    <row r="396" spans="1:15" x14ac:dyDescent="0.3">
      <c r="A396" t="s">
        <v>420</v>
      </c>
      <c r="B396">
        <v>1314</v>
      </c>
      <c r="C396">
        <v>342</v>
      </c>
      <c r="D396">
        <v>3</v>
      </c>
      <c r="E396" t="s">
        <v>7</v>
      </c>
      <c r="F396" t="s">
        <v>8</v>
      </c>
      <c r="G396">
        <f>Order_Details_PBI[[#This Row],[Profit]]/Order_Details_PBI[[#This Row],[Amount]]</f>
        <v>0.26027397260273971</v>
      </c>
      <c r="H396" t="str">
        <f>IF(Order_Details_PBI[[#This Row],[Profit Margine]]&lt;0," Loss",IF(Order_Details_PBI[[#This Row],[Profit Margine]]=0," Break-Even","Profit"))</f>
        <v>Profit</v>
      </c>
      <c r="I396" s="2">
        <v>43500</v>
      </c>
      <c r="J396" t="s">
        <v>896</v>
      </c>
      <c r="K396" t="str">
        <f>UPPER(List_of_Orders_PBI[[#This Row],[CustomerName]])</f>
        <v>YOHANN</v>
      </c>
      <c r="L396" t="s">
        <v>832</v>
      </c>
      <c r="M396" t="s">
        <v>832</v>
      </c>
      <c r="N396" t="str">
        <f>TEXT(List_of_Orders_PBI[[#This Row],[Order Date]],"DD-MMM-YYYY")</f>
        <v>04-Feb-2019</v>
      </c>
      <c r="O396" t="str">
        <f>_xlfn.CONCAT(List_of_Orders_PBI[[#This Row],[City]] &amp;" - "&amp; List_of_Orders_PBI[[#This Row],[State]])</f>
        <v>Delhi - Delhi</v>
      </c>
    </row>
    <row r="397" spans="1:15" x14ac:dyDescent="0.3">
      <c r="A397" t="s">
        <v>421</v>
      </c>
      <c r="B397">
        <v>62</v>
      </c>
      <c r="C397">
        <v>6</v>
      </c>
      <c r="D397">
        <v>6</v>
      </c>
      <c r="E397" t="s">
        <v>9</v>
      </c>
      <c r="F397" t="s">
        <v>53</v>
      </c>
      <c r="G397">
        <f>Order_Details_PBI[[#This Row],[Profit]]/Order_Details_PBI[[#This Row],[Amount]]</f>
        <v>9.6774193548387094E-2</v>
      </c>
      <c r="H397" t="str">
        <f>IF(Order_Details_PBI[[#This Row],[Profit Margine]]&lt;0," Loss",IF(Order_Details_PBI[[#This Row],[Profit Margine]]=0," Break-Even","Profit"))</f>
        <v>Profit</v>
      </c>
      <c r="I397" s="2">
        <v>43500</v>
      </c>
      <c r="J397" t="s">
        <v>897</v>
      </c>
      <c r="K397" t="str">
        <f>UPPER(List_of_Orders_PBI[[#This Row],[CustomerName]])</f>
        <v>PRASHANT</v>
      </c>
      <c r="L397" t="s">
        <v>832</v>
      </c>
      <c r="M397" t="s">
        <v>832</v>
      </c>
      <c r="N397" t="str">
        <f>TEXT(List_of_Orders_PBI[[#This Row],[Order Date]],"DD-MMM-YYYY")</f>
        <v>04-Feb-2019</v>
      </c>
      <c r="O397" t="str">
        <f>_xlfn.CONCAT(List_of_Orders_PBI[[#This Row],[City]] &amp;" - "&amp; List_of_Orders_PBI[[#This Row],[State]])</f>
        <v>Delhi - Delhi</v>
      </c>
    </row>
    <row r="398" spans="1:15" x14ac:dyDescent="0.3">
      <c r="A398" t="s">
        <v>422</v>
      </c>
      <c r="B398">
        <v>16</v>
      </c>
      <c r="C398">
        <v>6</v>
      </c>
      <c r="D398">
        <v>3</v>
      </c>
      <c r="E398" t="s">
        <v>9</v>
      </c>
      <c r="F398" t="s">
        <v>11</v>
      </c>
      <c r="G398">
        <f>Order_Details_PBI[[#This Row],[Profit]]/Order_Details_PBI[[#This Row],[Amount]]</f>
        <v>0.375</v>
      </c>
      <c r="H398" t="str">
        <f>IF(Order_Details_PBI[[#This Row],[Profit Margine]]&lt;0," Loss",IF(Order_Details_PBI[[#This Row],[Profit Margine]]=0," Break-Even","Profit"))</f>
        <v>Profit</v>
      </c>
      <c r="I398" s="2">
        <v>43500</v>
      </c>
      <c r="J398" t="s">
        <v>562</v>
      </c>
      <c r="K398" t="str">
        <f>UPPER(List_of_Orders_PBI[[#This Row],[CustomerName]])</f>
        <v>YOGESH</v>
      </c>
      <c r="L398" t="s">
        <v>542</v>
      </c>
      <c r="M398" t="s">
        <v>597</v>
      </c>
      <c r="N398" t="str">
        <f>TEXT(List_of_Orders_PBI[[#This Row],[Order Date]],"DD-MMM-YYYY")</f>
        <v>04-Feb-2019</v>
      </c>
      <c r="O398" t="str">
        <f>_xlfn.CONCAT(List_of_Orders_PBI[[#This Row],[City]] &amp;" - "&amp; List_of_Orders_PBI[[#This Row],[State]])</f>
        <v>Indore - Madhya Pradesh</v>
      </c>
    </row>
    <row r="399" spans="1:15" x14ac:dyDescent="0.3">
      <c r="A399" t="s">
        <v>423</v>
      </c>
      <c r="B399">
        <v>50</v>
      </c>
      <c r="C399">
        <v>-28</v>
      </c>
      <c r="D399">
        <v>5</v>
      </c>
      <c r="E399" t="s">
        <v>7</v>
      </c>
      <c r="F399" t="s">
        <v>34</v>
      </c>
      <c r="G399">
        <f>Order_Details_PBI[[#This Row],[Profit]]/Order_Details_PBI[[#This Row],[Amount]]</f>
        <v>-0.56000000000000005</v>
      </c>
      <c r="H399" t="str">
        <f>IF(Order_Details_PBI[[#This Row],[Profit Margine]]&lt;0," Loss",IF(Order_Details_PBI[[#This Row],[Profit Margine]]=0," Break-Even","Profit"))</f>
        <v xml:space="preserve"> Loss</v>
      </c>
      <c r="I399" s="2">
        <v>43500</v>
      </c>
      <c r="J399" t="s">
        <v>898</v>
      </c>
      <c r="K399" t="str">
        <f>UPPER(List_of_Orders_PBI[[#This Row],[CustomerName]])</f>
        <v>ANMOL</v>
      </c>
      <c r="L399" t="s">
        <v>545</v>
      </c>
      <c r="M399" t="s">
        <v>810</v>
      </c>
      <c r="N399" t="str">
        <f>TEXT(List_of_Orders_PBI[[#This Row],[Order Date]],"DD-MMM-YYYY")</f>
        <v>04-Feb-2019</v>
      </c>
      <c r="O399" t="str">
        <f>_xlfn.CONCAT(List_of_Orders_PBI[[#This Row],[City]] &amp;" - "&amp; List_of_Orders_PBI[[#This Row],[State]])</f>
        <v>Udaipur - Rajasthan</v>
      </c>
    </row>
    <row r="400" spans="1:15" x14ac:dyDescent="0.3">
      <c r="A400" t="s">
        <v>424</v>
      </c>
      <c r="B400">
        <v>26</v>
      </c>
      <c r="C400">
        <v>-17</v>
      </c>
      <c r="D400">
        <v>1</v>
      </c>
      <c r="E400" t="s">
        <v>9</v>
      </c>
      <c r="F400" t="s">
        <v>10</v>
      </c>
      <c r="G400">
        <f>Order_Details_PBI[[#This Row],[Profit]]/Order_Details_PBI[[#This Row],[Amount]]</f>
        <v>-0.65384615384615385</v>
      </c>
      <c r="H400" t="str">
        <f>IF(Order_Details_PBI[[#This Row],[Profit Margine]]&lt;0," Loss",IF(Order_Details_PBI[[#This Row],[Profit Margine]]=0," Break-Even","Profit"))</f>
        <v xml:space="preserve"> Loss</v>
      </c>
      <c r="I400" s="2">
        <v>43501</v>
      </c>
      <c r="J400" t="s">
        <v>899</v>
      </c>
      <c r="K400" t="str">
        <f>UPPER(List_of_Orders_PBI[[#This Row],[CustomerName]])</f>
        <v>DIWAKAR</v>
      </c>
      <c r="L400" t="s">
        <v>832</v>
      </c>
      <c r="M400" t="s">
        <v>832</v>
      </c>
      <c r="N400" t="str">
        <f>TEXT(List_of_Orders_PBI[[#This Row],[Order Date]],"DD-MMM-YYYY")</f>
        <v>05-Feb-2019</v>
      </c>
      <c r="O400" t="str">
        <f>_xlfn.CONCAT(List_of_Orders_PBI[[#This Row],[City]] &amp;" - "&amp; List_of_Orders_PBI[[#This Row],[State]])</f>
        <v>Delhi - Delhi</v>
      </c>
    </row>
    <row r="401" spans="1:15" x14ac:dyDescent="0.3">
      <c r="A401" t="s">
        <v>425</v>
      </c>
      <c r="B401">
        <v>43</v>
      </c>
      <c r="C401">
        <v>9</v>
      </c>
      <c r="D401">
        <v>4</v>
      </c>
      <c r="E401" t="s">
        <v>9</v>
      </c>
      <c r="F401" t="s">
        <v>53</v>
      </c>
      <c r="G401">
        <f>Order_Details_PBI[[#This Row],[Profit]]/Order_Details_PBI[[#This Row],[Amount]]</f>
        <v>0.20930232558139536</v>
      </c>
      <c r="H401" t="str">
        <f>IF(Order_Details_PBI[[#This Row],[Profit Margine]]&lt;0," Loss",IF(Order_Details_PBI[[#This Row],[Profit Margine]]=0," Break-Even","Profit"))</f>
        <v>Profit</v>
      </c>
      <c r="I401" s="2">
        <v>43502</v>
      </c>
      <c r="J401" t="s">
        <v>701</v>
      </c>
      <c r="K401" t="str">
        <f>UPPER(List_of_Orders_PBI[[#This Row],[CustomerName]])</f>
        <v>SHUBHAM</v>
      </c>
      <c r="L401" t="s">
        <v>832</v>
      </c>
      <c r="M401" t="s">
        <v>832</v>
      </c>
      <c r="N401" t="str">
        <f>TEXT(List_of_Orders_PBI[[#This Row],[Order Date]],"DD-MMM-YYYY")</f>
        <v>06-Feb-2019</v>
      </c>
      <c r="O401" t="str">
        <f>_xlfn.CONCAT(List_of_Orders_PBI[[#This Row],[City]] &amp;" - "&amp; List_of_Orders_PBI[[#This Row],[State]])</f>
        <v>Delhi - Delhi</v>
      </c>
    </row>
    <row r="402" spans="1:15" x14ac:dyDescent="0.3">
      <c r="A402" t="s">
        <v>426</v>
      </c>
      <c r="B402">
        <v>13</v>
      </c>
      <c r="C402">
        <v>0</v>
      </c>
      <c r="D402">
        <v>2</v>
      </c>
      <c r="E402" t="s">
        <v>9</v>
      </c>
      <c r="F402" t="s">
        <v>11</v>
      </c>
      <c r="G402">
        <f>Order_Details_PBI[[#This Row],[Profit]]/Order_Details_PBI[[#This Row],[Amount]]</f>
        <v>0</v>
      </c>
      <c r="H402" t="str">
        <f>IF(Order_Details_PBI[[#This Row],[Profit Margine]]&lt;0," Loss",IF(Order_Details_PBI[[#This Row],[Profit Margine]]=0," Break-Even","Profit"))</f>
        <v xml:space="preserve"> Break-Even</v>
      </c>
      <c r="I402" s="2">
        <v>43503</v>
      </c>
      <c r="J402" t="s">
        <v>900</v>
      </c>
      <c r="K402" t="str">
        <f>UPPER(List_of_Orders_PBI[[#This Row],[CustomerName]])</f>
        <v>PATIL</v>
      </c>
      <c r="L402" t="s">
        <v>832</v>
      </c>
      <c r="M402" t="s">
        <v>832</v>
      </c>
      <c r="N402" t="str">
        <f>TEXT(List_of_Orders_PBI[[#This Row],[Order Date]],"DD-MMM-YYYY")</f>
        <v>07-Feb-2019</v>
      </c>
      <c r="O402" t="str">
        <f>_xlfn.CONCAT(List_of_Orders_PBI[[#This Row],[City]] &amp;" - "&amp; List_of_Orders_PBI[[#This Row],[State]])</f>
        <v>Delhi - Delhi</v>
      </c>
    </row>
    <row r="403" spans="1:15" x14ac:dyDescent="0.3">
      <c r="A403" t="s">
        <v>427</v>
      </c>
      <c r="B403">
        <v>80</v>
      </c>
      <c r="C403">
        <v>22</v>
      </c>
      <c r="D403">
        <v>3</v>
      </c>
      <c r="E403" t="s">
        <v>9</v>
      </c>
      <c r="F403" t="s">
        <v>10</v>
      </c>
      <c r="G403">
        <f>Order_Details_PBI[[#This Row],[Profit]]/Order_Details_PBI[[#This Row],[Amount]]</f>
        <v>0.27500000000000002</v>
      </c>
      <c r="H403" t="str">
        <f>IF(Order_Details_PBI[[#This Row],[Profit Margine]]&lt;0," Loss",IF(Order_Details_PBI[[#This Row],[Profit Margine]]=0," Break-Even","Profit"))</f>
        <v>Profit</v>
      </c>
      <c r="I403" s="2">
        <v>43504</v>
      </c>
      <c r="J403" t="s">
        <v>711</v>
      </c>
      <c r="K403" t="str">
        <f>UPPER(List_of_Orders_PBI[[#This Row],[CustomerName]])</f>
        <v>HARSH</v>
      </c>
      <c r="L403" t="s">
        <v>832</v>
      </c>
      <c r="M403" t="s">
        <v>832</v>
      </c>
      <c r="N403" t="str">
        <f>TEXT(List_of_Orders_PBI[[#This Row],[Order Date]],"DD-MMM-YYYY")</f>
        <v>08-Feb-2019</v>
      </c>
      <c r="O403" t="str">
        <f>_xlfn.CONCAT(List_of_Orders_PBI[[#This Row],[City]] &amp;" - "&amp; List_of_Orders_PBI[[#This Row],[State]])</f>
        <v>Delhi - Delhi</v>
      </c>
    </row>
    <row r="404" spans="1:15" x14ac:dyDescent="0.3">
      <c r="A404" t="s">
        <v>428</v>
      </c>
      <c r="B404">
        <v>315</v>
      </c>
      <c r="C404">
        <v>-8</v>
      </c>
      <c r="D404">
        <v>3</v>
      </c>
      <c r="E404" t="s">
        <v>7</v>
      </c>
      <c r="F404" t="s">
        <v>19</v>
      </c>
      <c r="G404">
        <f>Order_Details_PBI[[#This Row],[Profit]]/Order_Details_PBI[[#This Row],[Amount]]</f>
        <v>-2.5396825396825397E-2</v>
      </c>
      <c r="H404" t="str">
        <f>IF(Order_Details_PBI[[#This Row],[Profit Margine]]&lt;0," Loss",IF(Order_Details_PBI[[#This Row],[Profit Margine]]=0," Break-Even","Profit"))</f>
        <v xml:space="preserve"> Loss</v>
      </c>
      <c r="I404" s="2">
        <v>43504</v>
      </c>
      <c r="J404" t="s">
        <v>901</v>
      </c>
      <c r="K404" t="str">
        <f>UPPER(List_of_Orders_PBI[[#This Row],[CustomerName]])</f>
        <v>HITESH</v>
      </c>
      <c r="L404" t="s">
        <v>542</v>
      </c>
      <c r="M404" t="s">
        <v>543</v>
      </c>
      <c r="N404" t="str">
        <f>TEXT(List_of_Orders_PBI[[#This Row],[Order Date]],"DD-MMM-YYYY")</f>
        <v>08-Feb-2019</v>
      </c>
      <c r="O404" t="str">
        <f>_xlfn.CONCAT(List_of_Orders_PBI[[#This Row],[City]] &amp;" - "&amp; List_of_Orders_PBI[[#This Row],[State]])</f>
        <v>Bhopal - Madhya Pradesh</v>
      </c>
    </row>
    <row r="405" spans="1:15" x14ac:dyDescent="0.3">
      <c r="A405" t="s">
        <v>429</v>
      </c>
      <c r="B405">
        <v>147</v>
      </c>
      <c r="C405">
        <v>44</v>
      </c>
      <c r="D405">
        <v>3</v>
      </c>
      <c r="E405" t="s">
        <v>9</v>
      </c>
      <c r="F405" t="s">
        <v>16</v>
      </c>
      <c r="G405">
        <f>Order_Details_PBI[[#This Row],[Profit]]/Order_Details_PBI[[#This Row],[Amount]]</f>
        <v>0.29931972789115646</v>
      </c>
      <c r="H405" t="str">
        <f>IF(Order_Details_PBI[[#This Row],[Profit Margine]]&lt;0," Loss",IF(Order_Details_PBI[[#This Row],[Profit Margine]]=0," Break-Even","Profit"))</f>
        <v>Profit</v>
      </c>
      <c r="I405" s="2">
        <v>43504</v>
      </c>
      <c r="J405" t="s">
        <v>902</v>
      </c>
      <c r="K405" t="str">
        <f>UPPER(List_of_Orders_PBI[[#This Row],[CustomerName]])</f>
        <v>NANDITA</v>
      </c>
      <c r="L405" t="s">
        <v>545</v>
      </c>
      <c r="M405" t="s">
        <v>546</v>
      </c>
      <c r="N405" t="str">
        <f>TEXT(List_of_Orders_PBI[[#This Row],[Order Date]],"DD-MMM-YYYY")</f>
        <v>08-Feb-2019</v>
      </c>
      <c r="O405" t="str">
        <f>_xlfn.CONCAT(List_of_Orders_PBI[[#This Row],[City]] &amp;" - "&amp; List_of_Orders_PBI[[#This Row],[State]])</f>
        <v>Jaipur - Rajasthan</v>
      </c>
    </row>
    <row r="406" spans="1:15" x14ac:dyDescent="0.3">
      <c r="A406" t="s">
        <v>430</v>
      </c>
      <c r="B406">
        <v>87</v>
      </c>
      <c r="C406">
        <v>10</v>
      </c>
      <c r="D406">
        <v>3</v>
      </c>
      <c r="E406" t="s">
        <v>9</v>
      </c>
      <c r="F406" t="s">
        <v>10</v>
      </c>
      <c r="G406">
        <f>Order_Details_PBI[[#This Row],[Profit]]/Order_Details_PBI[[#This Row],[Amount]]</f>
        <v>0.11494252873563218</v>
      </c>
      <c r="H406" t="str">
        <f>IF(Order_Details_PBI[[#This Row],[Profit Margine]]&lt;0," Loss",IF(Order_Details_PBI[[#This Row],[Profit Margine]]=0," Break-Even","Profit"))</f>
        <v>Profit</v>
      </c>
      <c r="I406" s="2">
        <v>43504</v>
      </c>
      <c r="J406" t="s">
        <v>903</v>
      </c>
      <c r="K406" t="str">
        <f>UPPER(List_of_Orders_PBI[[#This Row],[CustomerName]])</f>
        <v>PARNAVI</v>
      </c>
      <c r="L406" t="s">
        <v>548</v>
      </c>
      <c r="M406" t="s">
        <v>549</v>
      </c>
      <c r="N406" t="str">
        <f>TEXT(List_of_Orders_PBI[[#This Row],[Order Date]],"DD-MMM-YYYY")</f>
        <v>08-Feb-2019</v>
      </c>
      <c r="O406" t="str">
        <f>_xlfn.CONCAT(List_of_Orders_PBI[[#This Row],[City]] &amp;" - "&amp; List_of_Orders_PBI[[#This Row],[State]])</f>
        <v>Kolkata - West Bengal</v>
      </c>
    </row>
    <row r="407" spans="1:15" x14ac:dyDescent="0.3">
      <c r="A407" t="s">
        <v>431</v>
      </c>
      <c r="B407">
        <v>1301</v>
      </c>
      <c r="C407">
        <v>573</v>
      </c>
      <c r="D407">
        <v>5</v>
      </c>
      <c r="E407" t="s">
        <v>12</v>
      </c>
      <c r="F407" t="s">
        <v>33</v>
      </c>
      <c r="G407">
        <f>Order_Details_PBI[[#This Row],[Profit]]/Order_Details_PBI[[#This Row],[Amount]]</f>
        <v>0.4404304381245196</v>
      </c>
      <c r="H407" t="str">
        <f>IF(Order_Details_PBI[[#This Row],[Profit Margine]]&lt;0," Loss",IF(Order_Details_PBI[[#This Row],[Profit Margine]]=0," Break-Even","Profit"))</f>
        <v>Profit</v>
      </c>
      <c r="I407" s="2">
        <v>43505</v>
      </c>
      <c r="J407" t="s">
        <v>904</v>
      </c>
      <c r="K407" t="str">
        <f>UPPER(List_of_Orders_PBI[[#This Row],[CustomerName]])</f>
        <v>ARPITA</v>
      </c>
      <c r="L407" t="s">
        <v>551</v>
      </c>
      <c r="M407" t="s">
        <v>552</v>
      </c>
      <c r="N407" t="str">
        <f>TEXT(List_of_Orders_PBI[[#This Row],[Order Date]],"DD-MMM-YYYY")</f>
        <v>09-Feb-2019</v>
      </c>
      <c r="O407" t="str">
        <f>_xlfn.CONCAT(List_of_Orders_PBI[[#This Row],[City]] &amp;" - "&amp; List_of_Orders_PBI[[#This Row],[State]])</f>
        <v>Bangalore - Karnataka</v>
      </c>
    </row>
    <row r="408" spans="1:15" x14ac:dyDescent="0.3">
      <c r="A408" t="s">
        <v>432</v>
      </c>
      <c r="B408">
        <v>311</v>
      </c>
      <c r="C408">
        <v>72</v>
      </c>
      <c r="D408">
        <v>2</v>
      </c>
      <c r="E408" t="s">
        <v>7</v>
      </c>
      <c r="F408" t="s">
        <v>8</v>
      </c>
      <c r="G408">
        <f>Order_Details_PBI[[#This Row],[Profit]]/Order_Details_PBI[[#This Row],[Amount]]</f>
        <v>0.23151125401929259</v>
      </c>
      <c r="H408" t="str">
        <f>IF(Order_Details_PBI[[#This Row],[Profit Margine]]&lt;0," Loss",IF(Order_Details_PBI[[#This Row],[Profit Margine]]=0," Break-Even","Profit"))</f>
        <v>Profit</v>
      </c>
      <c r="I408" s="2">
        <v>43505</v>
      </c>
      <c r="J408" t="s">
        <v>701</v>
      </c>
      <c r="K408" t="str">
        <f>UPPER(List_of_Orders_PBI[[#This Row],[CustomerName]])</f>
        <v>SHUBHAM</v>
      </c>
      <c r="L408" t="s">
        <v>554</v>
      </c>
      <c r="M408" t="s">
        <v>555</v>
      </c>
      <c r="N408" t="str">
        <f>TEXT(List_of_Orders_PBI[[#This Row],[Order Date]],"DD-MMM-YYYY")</f>
        <v>09-Feb-2019</v>
      </c>
      <c r="O408" t="str">
        <f>_xlfn.CONCAT(List_of_Orders_PBI[[#This Row],[City]] &amp;" - "&amp; List_of_Orders_PBI[[#This Row],[State]])</f>
        <v>Kashmir - Jammu and Kashmir</v>
      </c>
    </row>
    <row r="409" spans="1:15" x14ac:dyDescent="0.3">
      <c r="A409" t="s">
        <v>433</v>
      </c>
      <c r="B409">
        <v>22</v>
      </c>
      <c r="C409">
        <v>4</v>
      </c>
      <c r="D409">
        <v>1</v>
      </c>
      <c r="E409" t="s">
        <v>9</v>
      </c>
      <c r="F409" t="s">
        <v>10</v>
      </c>
      <c r="G409">
        <f>Order_Details_PBI[[#This Row],[Profit]]/Order_Details_PBI[[#This Row],[Amount]]</f>
        <v>0.18181818181818182</v>
      </c>
      <c r="H409" t="str">
        <f>IF(Order_Details_PBI[[#This Row],[Profit Margine]]&lt;0," Loss",IF(Order_Details_PBI[[#This Row],[Profit Margine]]=0," Break-Even","Profit"))</f>
        <v>Profit</v>
      </c>
      <c r="I409" s="2">
        <v>43505</v>
      </c>
      <c r="J409" t="s">
        <v>905</v>
      </c>
      <c r="K409" t="str">
        <f>UPPER(List_of_Orders_PBI[[#This Row],[CustomerName]])</f>
        <v>KALYANI</v>
      </c>
      <c r="L409" t="s">
        <v>557</v>
      </c>
      <c r="M409" t="s">
        <v>558</v>
      </c>
      <c r="N409" t="str">
        <f>TEXT(List_of_Orders_PBI[[#This Row],[Order Date]],"DD-MMM-YYYY")</f>
        <v>09-Feb-2019</v>
      </c>
      <c r="O409" t="str">
        <f>_xlfn.CONCAT(List_of_Orders_PBI[[#This Row],[City]] &amp;" - "&amp; List_of_Orders_PBI[[#This Row],[State]])</f>
        <v>Chennai - Tamil Nadu</v>
      </c>
    </row>
    <row r="410" spans="1:15" x14ac:dyDescent="0.3">
      <c r="A410" t="s">
        <v>434</v>
      </c>
      <c r="B410">
        <v>285</v>
      </c>
      <c r="C410">
        <v>128</v>
      </c>
      <c r="D410">
        <v>2</v>
      </c>
      <c r="E410" t="s">
        <v>12</v>
      </c>
      <c r="F410" t="s">
        <v>30</v>
      </c>
      <c r="G410">
        <f>Order_Details_PBI[[#This Row],[Profit]]/Order_Details_PBI[[#This Row],[Amount]]</f>
        <v>0.44912280701754387</v>
      </c>
      <c r="H410" t="str">
        <f>IF(Order_Details_PBI[[#This Row],[Profit Margine]]&lt;0," Loss",IF(Order_Details_PBI[[#This Row],[Profit Margine]]=0," Break-Even","Profit"))</f>
        <v>Profit</v>
      </c>
      <c r="I410" s="2">
        <v>43506</v>
      </c>
      <c r="J410" t="s">
        <v>803</v>
      </c>
      <c r="K410" t="str">
        <f>UPPER(List_of_Orders_PBI[[#This Row],[CustomerName]])</f>
        <v>KOMAL</v>
      </c>
      <c r="L410" t="s">
        <v>560</v>
      </c>
      <c r="M410" t="s">
        <v>561</v>
      </c>
      <c r="N410" t="str">
        <f>TEXT(List_of_Orders_PBI[[#This Row],[Order Date]],"DD-MMM-YYYY")</f>
        <v>10-Feb-2019</v>
      </c>
      <c r="O410" t="str">
        <f>_xlfn.CONCAT(List_of_Orders_PBI[[#This Row],[City]] &amp;" - "&amp; List_of_Orders_PBI[[#This Row],[State]])</f>
        <v>Lucknow - Uttar Pradesh</v>
      </c>
    </row>
    <row r="411" spans="1:15" x14ac:dyDescent="0.3">
      <c r="A411" t="s">
        <v>435</v>
      </c>
      <c r="B411">
        <v>527</v>
      </c>
      <c r="C411">
        <v>26</v>
      </c>
      <c r="D411">
        <v>3</v>
      </c>
      <c r="E411" t="s">
        <v>12</v>
      </c>
      <c r="F411" t="s">
        <v>13</v>
      </c>
      <c r="G411">
        <f>Order_Details_PBI[[#This Row],[Profit]]/Order_Details_PBI[[#This Row],[Amount]]</f>
        <v>4.9335863377609111E-2</v>
      </c>
      <c r="H411" t="str">
        <f>IF(Order_Details_PBI[[#This Row],[Profit Margine]]&lt;0," Loss",IF(Order_Details_PBI[[#This Row],[Profit Margine]]=0," Break-Even","Profit"))</f>
        <v>Profit</v>
      </c>
      <c r="I411" s="2">
        <v>43507</v>
      </c>
      <c r="J411" t="s">
        <v>906</v>
      </c>
      <c r="K411" t="str">
        <f>UPPER(List_of_Orders_PBI[[#This Row],[CustomerName]])</f>
        <v>KARTIKAY</v>
      </c>
      <c r="L411" t="s">
        <v>563</v>
      </c>
      <c r="M411" t="s">
        <v>564</v>
      </c>
      <c r="N411" t="str">
        <f>TEXT(List_of_Orders_PBI[[#This Row],[Order Date]],"DD-MMM-YYYY")</f>
        <v>11-Feb-2019</v>
      </c>
      <c r="O411" t="str">
        <f>_xlfn.CONCAT(List_of_Orders_PBI[[#This Row],[City]] &amp;" - "&amp; List_of_Orders_PBI[[#This Row],[State]])</f>
        <v>Patna - Bihar</v>
      </c>
    </row>
    <row r="412" spans="1:15" x14ac:dyDescent="0.3">
      <c r="A412" t="s">
        <v>436</v>
      </c>
      <c r="B412">
        <v>93</v>
      </c>
      <c r="C412">
        <v>44</v>
      </c>
      <c r="D412">
        <v>2</v>
      </c>
      <c r="E412" t="s">
        <v>9</v>
      </c>
      <c r="F412" t="s">
        <v>10</v>
      </c>
      <c r="G412">
        <f>Order_Details_PBI[[#This Row],[Profit]]/Order_Details_PBI[[#This Row],[Amount]]</f>
        <v>0.4731182795698925</v>
      </c>
      <c r="H412" t="str">
        <f>IF(Order_Details_PBI[[#This Row],[Profit Margine]]&lt;0," Loss",IF(Order_Details_PBI[[#This Row],[Profit Margine]]=0," Break-Even","Profit"))</f>
        <v>Profit</v>
      </c>
      <c r="I412" s="2">
        <v>43508</v>
      </c>
      <c r="J412" t="s">
        <v>535</v>
      </c>
      <c r="K412" t="str">
        <f>UPPER(List_of_Orders_PBI[[#This Row],[CustomerName]])</f>
        <v>BHARAT</v>
      </c>
      <c r="L412" t="s">
        <v>536</v>
      </c>
      <c r="M412" t="s">
        <v>537</v>
      </c>
      <c r="N412" t="str">
        <f>TEXT(List_of_Orders_PBI[[#This Row],[Order Date]],"DD-MMM-YYYY")</f>
        <v>12-Feb-2019</v>
      </c>
      <c r="O412" t="str">
        <f>_xlfn.CONCAT(List_of_Orders_PBI[[#This Row],[City]] &amp;" - "&amp; List_of_Orders_PBI[[#This Row],[State]])</f>
        <v>Ahmedabad - Gujarat</v>
      </c>
    </row>
    <row r="413" spans="1:15" x14ac:dyDescent="0.3">
      <c r="A413" t="s">
        <v>437</v>
      </c>
      <c r="B413">
        <v>21</v>
      </c>
      <c r="C413">
        <v>8</v>
      </c>
      <c r="D413">
        <v>2</v>
      </c>
      <c r="E413" t="s">
        <v>9</v>
      </c>
      <c r="F413" t="s">
        <v>16</v>
      </c>
      <c r="G413">
        <f>Order_Details_PBI[[#This Row],[Profit]]/Order_Details_PBI[[#This Row],[Amount]]</f>
        <v>0.38095238095238093</v>
      </c>
      <c r="H413" t="str">
        <f>IF(Order_Details_PBI[[#This Row],[Profit Margine]]&lt;0," Loss",IF(Order_Details_PBI[[#This Row],[Profit Margine]]=0," Break-Even","Profit"))</f>
        <v>Profit</v>
      </c>
      <c r="I413" s="2">
        <v>43509</v>
      </c>
      <c r="J413" t="s">
        <v>538</v>
      </c>
      <c r="K413" t="str">
        <f>UPPER(List_of_Orders_PBI[[#This Row],[CustomerName]])</f>
        <v>PEARL</v>
      </c>
      <c r="L413" t="s">
        <v>539</v>
      </c>
      <c r="M413" t="s">
        <v>540</v>
      </c>
      <c r="N413" t="str">
        <f>TEXT(List_of_Orders_PBI[[#This Row],[Order Date]],"DD-MMM-YYYY")</f>
        <v>13-Feb-2019</v>
      </c>
      <c r="O413" t="str">
        <f>_xlfn.CONCAT(List_of_Orders_PBI[[#This Row],[City]] &amp;" - "&amp; List_of_Orders_PBI[[#This Row],[State]])</f>
        <v>Pune - Maharashtra</v>
      </c>
    </row>
    <row r="414" spans="1:15" x14ac:dyDescent="0.3">
      <c r="A414" t="s">
        <v>438</v>
      </c>
      <c r="B414">
        <v>29</v>
      </c>
      <c r="C414">
        <v>10</v>
      </c>
      <c r="D414">
        <v>3</v>
      </c>
      <c r="E414" t="s">
        <v>9</v>
      </c>
      <c r="F414" t="s">
        <v>53</v>
      </c>
      <c r="G414">
        <f>Order_Details_PBI[[#This Row],[Profit]]/Order_Details_PBI[[#This Row],[Amount]]</f>
        <v>0.34482758620689657</v>
      </c>
      <c r="H414" t="str">
        <f>IF(Order_Details_PBI[[#This Row],[Profit Margine]]&lt;0," Loss",IF(Order_Details_PBI[[#This Row],[Profit Margine]]=0," Break-Even","Profit"))</f>
        <v>Profit</v>
      </c>
      <c r="I414" s="2">
        <v>43509</v>
      </c>
      <c r="J414" t="s">
        <v>541</v>
      </c>
      <c r="K414" t="str">
        <f>UPPER(List_of_Orders_PBI[[#This Row],[CustomerName]])</f>
        <v>JAHAN</v>
      </c>
      <c r="L414" t="s">
        <v>542</v>
      </c>
      <c r="M414" t="s">
        <v>543</v>
      </c>
      <c r="N414" t="str">
        <f>TEXT(List_of_Orders_PBI[[#This Row],[Order Date]],"DD-MMM-YYYY")</f>
        <v>13-Feb-2019</v>
      </c>
      <c r="O414" t="str">
        <f>_xlfn.CONCAT(List_of_Orders_PBI[[#This Row],[City]] &amp;" - "&amp; List_of_Orders_PBI[[#This Row],[State]])</f>
        <v>Bhopal - Madhya Pradesh</v>
      </c>
    </row>
    <row r="415" spans="1:15" x14ac:dyDescent="0.3">
      <c r="A415" t="s">
        <v>439</v>
      </c>
      <c r="B415">
        <v>406</v>
      </c>
      <c r="C415">
        <v>97</v>
      </c>
      <c r="D415">
        <v>7</v>
      </c>
      <c r="E415" t="s">
        <v>7</v>
      </c>
      <c r="F415" t="s">
        <v>19</v>
      </c>
      <c r="G415">
        <f>Order_Details_PBI[[#This Row],[Profit]]/Order_Details_PBI[[#This Row],[Amount]]</f>
        <v>0.23891625615763548</v>
      </c>
      <c r="H415" t="str">
        <f>IF(Order_Details_PBI[[#This Row],[Profit Margine]]&lt;0," Loss",IF(Order_Details_PBI[[#This Row],[Profit Margine]]=0," Break-Even","Profit"))</f>
        <v>Profit</v>
      </c>
      <c r="I415" s="2">
        <v>43509</v>
      </c>
      <c r="J415" t="s">
        <v>544</v>
      </c>
      <c r="K415" t="str">
        <f>UPPER(List_of_Orders_PBI[[#This Row],[CustomerName]])</f>
        <v>DIVSHA</v>
      </c>
      <c r="L415" t="s">
        <v>545</v>
      </c>
      <c r="M415" t="s">
        <v>546</v>
      </c>
      <c r="N415" t="str">
        <f>TEXT(List_of_Orders_PBI[[#This Row],[Order Date]],"DD-MMM-YYYY")</f>
        <v>13-Feb-2019</v>
      </c>
      <c r="O415" t="str">
        <f>_xlfn.CONCAT(List_of_Orders_PBI[[#This Row],[City]] &amp;" - "&amp; List_of_Orders_PBI[[#This Row],[State]])</f>
        <v>Jaipur - Rajasthan</v>
      </c>
    </row>
    <row r="416" spans="1:15" x14ac:dyDescent="0.3">
      <c r="A416" t="s">
        <v>440</v>
      </c>
      <c r="B416">
        <v>128</v>
      </c>
      <c r="C416">
        <v>55</v>
      </c>
      <c r="D416">
        <v>1</v>
      </c>
      <c r="E416" t="s">
        <v>9</v>
      </c>
      <c r="F416" t="s">
        <v>16</v>
      </c>
      <c r="G416">
        <f>Order_Details_PBI[[#This Row],[Profit]]/Order_Details_PBI[[#This Row],[Amount]]</f>
        <v>0.4296875</v>
      </c>
      <c r="H416" t="str">
        <f>IF(Order_Details_PBI[[#This Row],[Profit Margine]]&lt;0," Loss",IF(Order_Details_PBI[[#This Row],[Profit Margine]]=0," Break-Even","Profit"))</f>
        <v>Profit</v>
      </c>
      <c r="I416" s="2">
        <v>43510</v>
      </c>
      <c r="J416" t="s">
        <v>547</v>
      </c>
      <c r="K416" t="str">
        <f>UPPER(List_of_Orders_PBI[[#This Row],[CustomerName]])</f>
        <v>KASHEEN</v>
      </c>
      <c r="L416" t="s">
        <v>548</v>
      </c>
      <c r="M416" t="s">
        <v>549</v>
      </c>
      <c r="N416" t="str">
        <f>TEXT(List_of_Orders_PBI[[#This Row],[Order Date]],"DD-MMM-YYYY")</f>
        <v>14-Feb-2019</v>
      </c>
      <c r="O416" t="str">
        <f>_xlfn.CONCAT(List_of_Orders_PBI[[#This Row],[City]] &amp;" - "&amp; List_of_Orders_PBI[[#This Row],[State]])</f>
        <v>Kolkata - West Bengal</v>
      </c>
    </row>
    <row r="417" spans="1:15" x14ac:dyDescent="0.3">
      <c r="A417" t="s">
        <v>441</v>
      </c>
      <c r="B417">
        <v>74</v>
      </c>
      <c r="C417">
        <v>9</v>
      </c>
      <c r="D417">
        <v>3</v>
      </c>
      <c r="E417" t="s">
        <v>9</v>
      </c>
      <c r="F417" t="s">
        <v>25</v>
      </c>
      <c r="G417">
        <f>Order_Details_PBI[[#This Row],[Profit]]/Order_Details_PBI[[#This Row],[Amount]]</f>
        <v>0.12162162162162163</v>
      </c>
      <c r="H417" t="str">
        <f>IF(Order_Details_PBI[[#This Row],[Profit Margine]]&lt;0," Loss",IF(Order_Details_PBI[[#This Row],[Profit Margine]]=0," Break-Even","Profit"))</f>
        <v>Profit</v>
      </c>
      <c r="I417" s="2">
        <v>43510</v>
      </c>
      <c r="J417" t="s">
        <v>550</v>
      </c>
      <c r="K417" t="str">
        <f>UPPER(List_of_Orders_PBI[[#This Row],[CustomerName]])</f>
        <v>HAZEL</v>
      </c>
      <c r="L417" t="s">
        <v>551</v>
      </c>
      <c r="M417" t="s">
        <v>552</v>
      </c>
      <c r="N417" t="str">
        <f>TEXT(List_of_Orders_PBI[[#This Row],[Order Date]],"DD-MMM-YYYY")</f>
        <v>14-Feb-2019</v>
      </c>
      <c r="O417" t="str">
        <f>_xlfn.CONCAT(List_of_Orders_PBI[[#This Row],[City]] &amp;" - "&amp; List_of_Orders_PBI[[#This Row],[State]])</f>
        <v>Bangalore - Karnataka</v>
      </c>
    </row>
    <row r="418" spans="1:15" x14ac:dyDescent="0.3">
      <c r="A418" t="s">
        <v>442</v>
      </c>
      <c r="B418">
        <v>78</v>
      </c>
      <c r="C418">
        <v>7</v>
      </c>
      <c r="D418">
        <v>1</v>
      </c>
      <c r="E418" t="s">
        <v>7</v>
      </c>
      <c r="F418" t="s">
        <v>19</v>
      </c>
      <c r="G418">
        <f>Order_Details_PBI[[#This Row],[Profit]]/Order_Details_PBI[[#This Row],[Amount]]</f>
        <v>8.9743589743589744E-2</v>
      </c>
      <c r="H418" t="str">
        <f>IF(Order_Details_PBI[[#This Row],[Profit Margine]]&lt;0," Loss",IF(Order_Details_PBI[[#This Row],[Profit Margine]]=0," Break-Even","Profit"))</f>
        <v>Profit</v>
      </c>
      <c r="I418" s="2">
        <v>43510</v>
      </c>
      <c r="J418" t="s">
        <v>553</v>
      </c>
      <c r="K418" t="str">
        <f>UPPER(List_of_Orders_PBI[[#This Row],[CustomerName]])</f>
        <v>SONAKSHI</v>
      </c>
      <c r="L418" t="s">
        <v>554</v>
      </c>
      <c r="M418" t="s">
        <v>555</v>
      </c>
      <c r="N418" t="str">
        <f>TEXT(List_of_Orders_PBI[[#This Row],[Order Date]],"DD-MMM-YYYY")</f>
        <v>14-Feb-2019</v>
      </c>
      <c r="O418" t="str">
        <f>_xlfn.CONCAT(List_of_Orders_PBI[[#This Row],[City]] &amp;" - "&amp; List_of_Orders_PBI[[#This Row],[State]])</f>
        <v>Kashmir - Jammu and Kashmir</v>
      </c>
    </row>
    <row r="419" spans="1:15" x14ac:dyDescent="0.3">
      <c r="A419" t="s">
        <v>443</v>
      </c>
      <c r="B419">
        <v>326</v>
      </c>
      <c r="C419">
        <v>107</v>
      </c>
      <c r="D419">
        <v>3</v>
      </c>
      <c r="E419" t="s">
        <v>7</v>
      </c>
      <c r="F419" t="s">
        <v>34</v>
      </c>
      <c r="G419">
        <f>Order_Details_PBI[[#This Row],[Profit]]/Order_Details_PBI[[#This Row],[Amount]]</f>
        <v>0.32822085889570551</v>
      </c>
      <c r="H419" t="str">
        <f>IF(Order_Details_PBI[[#This Row],[Profit Margine]]&lt;0," Loss",IF(Order_Details_PBI[[#This Row],[Profit Margine]]=0," Break-Even","Profit"))</f>
        <v>Profit</v>
      </c>
      <c r="I419" s="2">
        <v>43510</v>
      </c>
      <c r="J419" t="s">
        <v>556</v>
      </c>
      <c r="K419" t="str">
        <f>UPPER(List_of_Orders_PBI[[#This Row],[CustomerName]])</f>
        <v>AARUSHI</v>
      </c>
      <c r="L419" t="s">
        <v>557</v>
      </c>
      <c r="M419" t="s">
        <v>558</v>
      </c>
      <c r="N419" t="str">
        <f>TEXT(List_of_Orders_PBI[[#This Row],[Order Date]],"DD-MMM-YYYY")</f>
        <v>14-Feb-2019</v>
      </c>
      <c r="O419" t="str">
        <f>_xlfn.CONCAT(List_of_Orders_PBI[[#This Row],[City]] &amp;" - "&amp; List_of_Orders_PBI[[#This Row],[State]])</f>
        <v>Chennai - Tamil Nadu</v>
      </c>
    </row>
    <row r="420" spans="1:15" x14ac:dyDescent="0.3">
      <c r="A420" t="s">
        <v>444</v>
      </c>
      <c r="B420">
        <v>585</v>
      </c>
      <c r="C420">
        <v>175</v>
      </c>
      <c r="D420">
        <v>13</v>
      </c>
      <c r="E420" t="s">
        <v>9</v>
      </c>
      <c r="F420" t="s">
        <v>22</v>
      </c>
      <c r="G420">
        <f>Order_Details_PBI[[#This Row],[Profit]]/Order_Details_PBI[[#This Row],[Amount]]</f>
        <v>0.29914529914529914</v>
      </c>
      <c r="H420" t="str">
        <f>IF(Order_Details_PBI[[#This Row],[Profit Margine]]&lt;0," Loss",IF(Order_Details_PBI[[#This Row],[Profit Margine]]=0," Break-Even","Profit"))</f>
        <v>Profit</v>
      </c>
      <c r="I420" s="2">
        <v>43511</v>
      </c>
      <c r="J420" t="s">
        <v>559</v>
      </c>
      <c r="K420" t="str">
        <f>UPPER(List_of_Orders_PBI[[#This Row],[CustomerName]])</f>
        <v>JITESH</v>
      </c>
      <c r="L420" t="s">
        <v>560</v>
      </c>
      <c r="M420" t="s">
        <v>561</v>
      </c>
      <c r="N420" t="str">
        <f>TEXT(List_of_Orders_PBI[[#This Row],[Order Date]],"DD-MMM-YYYY")</f>
        <v>15-Feb-2019</v>
      </c>
      <c r="O420" t="str">
        <f>_xlfn.CONCAT(List_of_Orders_PBI[[#This Row],[City]] &amp;" - "&amp; List_of_Orders_PBI[[#This Row],[State]])</f>
        <v>Lucknow - Uttar Pradesh</v>
      </c>
    </row>
    <row r="421" spans="1:15" x14ac:dyDescent="0.3">
      <c r="A421" t="s">
        <v>445</v>
      </c>
      <c r="B421">
        <v>319</v>
      </c>
      <c r="C421">
        <v>102</v>
      </c>
      <c r="D421">
        <v>6</v>
      </c>
      <c r="E421" t="s">
        <v>12</v>
      </c>
      <c r="F421" t="s">
        <v>33</v>
      </c>
      <c r="G421">
        <f>Order_Details_PBI[[#This Row],[Profit]]/Order_Details_PBI[[#This Row],[Amount]]</f>
        <v>0.31974921630094044</v>
      </c>
      <c r="H421" t="str">
        <f>IF(Order_Details_PBI[[#This Row],[Profit Margine]]&lt;0," Loss",IF(Order_Details_PBI[[#This Row],[Profit Margine]]=0," Break-Even","Profit"))</f>
        <v>Profit</v>
      </c>
      <c r="I421" s="2">
        <v>43512</v>
      </c>
      <c r="J421" t="s">
        <v>562</v>
      </c>
      <c r="K421" t="str">
        <f>UPPER(List_of_Orders_PBI[[#This Row],[CustomerName]])</f>
        <v>YOGESH</v>
      </c>
      <c r="L421" t="s">
        <v>563</v>
      </c>
      <c r="M421" t="s">
        <v>564</v>
      </c>
      <c r="N421" t="str">
        <f>TEXT(List_of_Orders_PBI[[#This Row],[Order Date]],"DD-MMM-YYYY")</f>
        <v>16-Feb-2019</v>
      </c>
      <c r="O421" t="str">
        <f>_xlfn.CONCAT(List_of_Orders_PBI[[#This Row],[City]] &amp;" - "&amp; List_of_Orders_PBI[[#This Row],[State]])</f>
        <v>Patna - Bihar</v>
      </c>
    </row>
    <row r="422" spans="1:15" x14ac:dyDescent="0.3">
      <c r="A422" t="s">
        <v>446</v>
      </c>
      <c r="B422">
        <v>122</v>
      </c>
      <c r="C422">
        <v>59</v>
      </c>
      <c r="D422">
        <v>7</v>
      </c>
      <c r="E422" t="s">
        <v>7</v>
      </c>
      <c r="F422" t="s">
        <v>34</v>
      </c>
      <c r="G422">
        <f>Order_Details_PBI[[#This Row],[Profit]]/Order_Details_PBI[[#This Row],[Amount]]</f>
        <v>0.48360655737704916</v>
      </c>
      <c r="H422" t="str">
        <f>IF(Order_Details_PBI[[#This Row],[Profit Margine]]&lt;0," Loss",IF(Order_Details_PBI[[#This Row],[Profit Margine]]=0," Break-Even","Profit"))</f>
        <v>Profit</v>
      </c>
      <c r="I422" s="2">
        <v>43513</v>
      </c>
      <c r="J422" t="s">
        <v>565</v>
      </c>
      <c r="K422" t="str">
        <f>UPPER(List_of_Orders_PBI[[#This Row],[CustomerName]])</f>
        <v>ANITA</v>
      </c>
      <c r="L422" t="s">
        <v>566</v>
      </c>
      <c r="M422" t="s">
        <v>567</v>
      </c>
      <c r="N422" t="str">
        <f>TEXT(List_of_Orders_PBI[[#This Row],[Order Date]],"DD-MMM-YYYY")</f>
        <v>17-Feb-2019</v>
      </c>
      <c r="O422" t="str">
        <f>_xlfn.CONCAT(List_of_Orders_PBI[[#This Row],[City]] &amp;" - "&amp; List_of_Orders_PBI[[#This Row],[State]])</f>
        <v xml:space="preserve">Thiruvananthapuram - Kerala </v>
      </c>
    </row>
    <row r="423" spans="1:15" x14ac:dyDescent="0.3">
      <c r="A423" t="s">
        <v>447</v>
      </c>
      <c r="B423">
        <v>1824</v>
      </c>
      <c r="C423">
        <v>-1303</v>
      </c>
      <c r="D423">
        <v>8</v>
      </c>
      <c r="E423" t="s">
        <v>12</v>
      </c>
      <c r="F423" t="s">
        <v>15</v>
      </c>
      <c r="G423">
        <f>Order_Details_PBI[[#This Row],[Profit]]/Order_Details_PBI[[#This Row],[Amount]]</f>
        <v>-0.71436403508771928</v>
      </c>
      <c r="H423" t="str">
        <f>IF(Order_Details_PBI[[#This Row],[Profit Margine]]&lt;0," Loss",IF(Order_Details_PBI[[#This Row],[Profit Margine]]=0," Break-Even","Profit"))</f>
        <v xml:space="preserve"> Loss</v>
      </c>
      <c r="I423" s="2">
        <v>43514</v>
      </c>
      <c r="J423" t="s">
        <v>568</v>
      </c>
      <c r="K423" t="str">
        <f>UPPER(List_of_Orders_PBI[[#This Row],[CustomerName]])</f>
        <v>SHRICHAND</v>
      </c>
      <c r="L423" t="s">
        <v>569</v>
      </c>
      <c r="M423" t="s">
        <v>570</v>
      </c>
      <c r="N423" t="str">
        <f>TEXT(List_of_Orders_PBI[[#This Row],[Order Date]],"DD-MMM-YYYY")</f>
        <v>18-Feb-2019</v>
      </c>
      <c r="O423" t="str">
        <f>_xlfn.CONCAT(List_of_Orders_PBI[[#This Row],[City]] &amp;" - "&amp; List_of_Orders_PBI[[#This Row],[State]])</f>
        <v>Chandigarh - Punjab</v>
      </c>
    </row>
    <row r="424" spans="1:15" x14ac:dyDescent="0.3">
      <c r="A424" t="s">
        <v>448</v>
      </c>
      <c r="B424">
        <v>1117</v>
      </c>
      <c r="C424">
        <v>447</v>
      </c>
      <c r="D424">
        <v>10</v>
      </c>
      <c r="E424" t="s">
        <v>7</v>
      </c>
      <c r="F424" t="s">
        <v>8</v>
      </c>
      <c r="G424">
        <f>Order_Details_PBI[[#This Row],[Profit]]/Order_Details_PBI[[#This Row],[Amount]]</f>
        <v>0.40017905102954343</v>
      </c>
      <c r="H424" t="str">
        <f>IF(Order_Details_PBI[[#This Row],[Profit Margine]]&lt;0," Loss",IF(Order_Details_PBI[[#This Row],[Profit Margine]]=0," Break-Even","Profit"))</f>
        <v>Profit</v>
      </c>
      <c r="I424" s="2">
        <v>43515</v>
      </c>
      <c r="J424" t="s">
        <v>571</v>
      </c>
      <c r="K424" t="str">
        <f>UPPER(List_of_Orders_PBI[[#This Row],[CustomerName]])</f>
        <v>MUKESH</v>
      </c>
      <c r="L424" t="s">
        <v>572</v>
      </c>
      <c r="M424" t="s">
        <v>570</v>
      </c>
      <c r="N424" t="str">
        <f>TEXT(List_of_Orders_PBI[[#This Row],[Order Date]],"DD-MMM-YYYY")</f>
        <v>19-Feb-2019</v>
      </c>
      <c r="O424" t="str">
        <f>_xlfn.CONCAT(List_of_Orders_PBI[[#This Row],[City]] &amp;" - "&amp; List_of_Orders_PBI[[#This Row],[State]])</f>
        <v>Chandigarh - Haryana</v>
      </c>
    </row>
    <row r="425" spans="1:15" x14ac:dyDescent="0.3">
      <c r="A425" t="s">
        <v>449</v>
      </c>
      <c r="B425">
        <v>168</v>
      </c>
      <c r="C425">
        <v>18</v>
      </c>
      <c r="D425">
        <v>6</v>
      </c>
      <c r="E425" t="s">
        <v>9</v>
      </c>
      <c r="F425" t="s">
        <v>10</v>
      </c>
      <c r="G425">
        <f>Order_Details_PBI[[#This Row],[Profit]]/Order_Details_PBI[[#This Row],[Amount]]</f>
        <v>0.10714285714285714</v>
      </c>
      <c r="H425" t="str">
        <f>IF(Order_Details_PBI[[#This Row],[Profit Margine]]&lt;0," Loss",IF(Order_Details_PBI[[#This Row],[Profit Margine]]=0," Break-Even","Profit"))</f>
        <v>Profit</v>
      </c>
      <c r="I425" s="2">
        <v>43515</v>
      </c>
      <c r="J425" t="s">
        <v>573</v>
      </c>
      <c r="K425" t="str">
        <f>UPPER(List_of_Orders_PBI[[#This Row],[CustomerName]])</f>
        <v>VANDANA</v>
      </c>
      <c r="L425" t="s">
        <v>574</v>
      </c>
      <c r="M425" t="s">
        <v>575</v>
      </c>
      <c r="N425" t="str">
        <f>TEXT(List_of_Orders_PBI[[#This Row],[Order Date]],"DD-MMM-YYYY")</f>
        <v>19-Feb-2019</v>
      </c>
      <c r="O425" t="str">
        <f>_xlfn.CONCAT(List_of_Orders_PBI[[#This Row],[City]] &amp;" - "&amp; List_of_Orders_PBI[[#This Row],[State]])</f>
        <v>Simla - Himachal Pradesh</v>
      </c>
    </row>
    <row r="426" spans="1:15" x14ac:dyDescent="0.3">
      <c r="A426" t="s">
        <v>450</v>
      </c>
      <c r="B426">
        <v>155</v>
      </c>
      <c r="C426">
        <v>5</v>
      </c>
      <c r="D426">
        <v>3</v>
      </c>
      <c r="E426" t="s">
        <v>9</v>
      </c>
      <c r="F426" t="s">
        <v>10</v>
      </c>
      <c r="G426">
        <f>Order_Details_PBI[[#This Row],[Profit]]/Order_Details_PBI[[#This Row],[Amount]]</f>
        <v>3.2258064516129031E-2</v>
      </c>
      <c r="H426" t="str">
        <f>IF(Order_Details_PBI[[#This Row],[Profit Margine]]&lt;0," Loss",IF(Order_Details_PBI[[#This Row],[Profit Margine]]=0," Break-Even","Profit"))</f>
        <v>Profit</v>
      </c>
      <c r="I426" s="2">
        <v>43515</v>
      </c>
      <c r="J426" t="s">
        <v>576</v>
      </c>
      <c r="K426" t="str">
        <f>UPPER(List_of_Orders_PBI[[#This Row],[CustomerName]])</f>
        <v>BHAVNA</v>
      </c>
      <c r="L426" t="s">
        <v>577</v>
      </c>
      <c r="M426" t="s">
        <v>578</v>
      </c>
      <c r="N426" t="str">
        <f>TEXT(List_of_Orders_PBI[[#This Row],[Order Date]],"DD-MMM-YYYY")</f>
        <v>19-Feb-2019</v>
      </c>
      <c r="O426" t="str">
        <f>_xlfn.CONCAT(List_of_Orders_PBI[[#This Row],[City]] &amp;" - "&amp; List_of_Orders_PBI[[#This Row],[State]])</f>
        <v>Gangtok - Sikkim</v>
      </c>
    </row>
    <row r="427" spans="1:15" x14ac:dyDescent="0.3">
      <c r="A427" t="s">
        <v>451</v>
      </c>
      <c r="B427">
        <v>255</v>
      </c>
      <c r="C427">
        <v>76</v>
      </c>
      <c r="D427">
        <v>9</v>
      </c>
      <c r="E427" t="s">
        <v>9</v>
      </c>
      <c r="F427" t="s">
        <v>11</v>
      </c>
      <c r="G427">
        <f>Order_Details_PBI[[#This Row],[Profit]]/Order_Details_PBI[[#This Row],[Amount]]</f>
        <v>0.29803921568627451</v>
      </c>
      <c r="H427" t="str">
        <f>IF(Order_Details_PBI[[#This Row],[Profit Margine]]&lt;0," Loss",IF(Order_Details_PBI[[#This Row],[Profit Margine]]=0," Break-Even","Profit"))</f>
        <v>Profit</v>
      </c>
      <c r="I427" s="2">
        <v>43515</v>
      </c>
      <c r="J427" t="s">
        <v>579</v>
      </c>
      <c r="K427" t="str">
        <f>UPPER(List_of_Orders_PBI[[#This Row],[CustomerName]])</f>
        <v>KANAK</v>
      </c>
      <c r="L427" t="s">
        <v>580</v>
      </c>
      <c r="M427" t="s">
        <v>580</v>
      </c>
      <c r="N427" t="str">
        <f>TEXT(List_of_Orders_PBI[[#This Row],[Order Date]],"DD-MMM-YYYY")</f>
        <v>19-Feb-2019</v>
      </c>
      <c r="O427" t="str">
        <f>_xlfn.CONCAT(List_of_Orders_PBI[[#This Row],[City]] &amp;" - "&amp; List_of_Orders_PBI[[#This Row],[State]])</f>
        <v>Goa - Goa</v>
      </c>
    </row>
    <row r="428" spans="1:15" x14ac:dyDescent="0.3">
      <c r="A428" t="s">
        <v>452</v>
      </c>
      <c r="B428">
        <v>54</v>
      </c>
      <c r="C428">
        <v>8</v>
      </c>
      <c r="D428">
        <v>4</v>
      </c>
      <c r="E428" t="s">
        <v>9</v>
      </c>
      <c r="F428" t="s">
        <v>22</v>
      </c>
      <c r="G428">
        <f>Order_Details_PBI[[#This Row],[Profit]]/Order_Details_PBI[[#This Row],[Amount]]</f>
        <v>0.14814814814814814</v>
      </c>
      <c r="H428" t="str">
        <f>IF(Order_Details_PBI[[#This Row],[Profit Margine]]&lt;0," Loss",IF(Order_Details_PBI[[#This Row],[Profit Margine]]=0," Break-Even","Profit"))</f>
        <v>Profit</v>
      </c>
      <c r="I428" s="2">
        <v>43516</v>
      </c>
      <c r="J428" t="s">
        <v>581</v>
      </c>
      <c r="K428" t="str">
        <f>UPPER(List_of_Orders_PBI[[#This Row],[CustomerName]])</f>
        <v>SAGAR</v>
      </c>
      <c r="L428" t="s">
        <v>582</v>
      </c>
      <c r="M428" t="s">
        <v>583</v>
      </c>
      <c r="N428" t="str">
        <f>TEXT(List_of_Orders_PBI[[#This Row],[Order Date]],"DD-MMM-YYYY")</f>
        <v>20-Feb-2019</v>
      </c>
      <c r="O428" t="str">
        <f>_xlfn.CONCAT(List_of_Orders_PBI[[#This Row],[City]] &amp;" - "&amp; List_of_Orders_PBI[[#This Row],[State]])</f>
        <v>Kohima - Nagaland</v>
      </c>
    </row>
    <row r="429" spans="1:15" x14ac:dyDescent="0.3">
      <c r="A429" t="s">
        <v>453</v>
      </c>
      <c r="B429">
        <v>77</v>
      </c>
      <c r="C429">
        <v>36</v>
      </c>
      <c r="D429">
        <v>2</v>
      </c>
      <c r="E429" t="s">
        <v>9</v>
      </c>
      <c r="F429" t="s">
        <v>25</v>
      </c>
      <c r="G429">
        <f>Order_Details_PBI[[#This Row],[Profit]]/Order_Details_PBI[[#This Row],[Amount]]</f>
        <v>0.46753246753246752</v>
      </c>
      <c r="H429" t="str">
        <f>IF(Order_Details_PBI[[#This Row],[Profit Margine]]&lt;0," Loss",IF(Order_Details_PBI[[#This Row],[Profit Margine]]=0," Break-Even","Profit"))</f>
        <v>Profit</v>
      </c>
      <c r="I429" s="2">
        <v>43516</v>
      </c>
      <c r="J429" t="s">
        <v>584</v>
      </c>
      <c r="K429" t="str">
        <f>UPPER(List_of_Orders_PBI[[#This Row],[CustomerName]])</f>
        <v>MANJU</v>
      </c>
      <c r="L429" t="s">
        <v>585</v>
      </c>
      <c r="M429" t="s">
        <v>586</v>
      </c>
      <c r="N429" t="str">
        <f>TEXT(List_of_Orders_PBI[[#This Row],[Order Date]],"DD-MMM-YYYY")</f>
        <v>20-Feb-2019</v>
      </c>
      <c r="O429" t="str">
        <f>_xlfn.CONCAT(List_of_Orders_PBI[[#This Row],[City]] &amp;" - "&amp; List_of_Orders_PBI[[#This Row],[State]])</f>
        <v>Hyderabad - Andhra Pradesh</v>
      </c>
    </row>
    <row r="430" spans="1:15" x14ac:dyDescent="0.3">
      <c r="A430" t="s">
        <v>454</v>
      </c>
      <c r="B430">
        <v>21</v>
      </c>
      <c r="C430">
        <v>10</v>
      </c>
      <c r="D430">
        <v>1</v>
      </c>
      <c r="E430" t="s">
        <v>9</v>
      </c>
      <c r="F430" t="s">
        <v>22</v>
      </c>
      <c r="G430">
        <f>Order_Details_PBI[[#This Row],[Profit]]/Order_Details_PBI[[#This Row],[Amount]]</f>
        <v>0.47619047619047616</v>
      </c>
      <c r="H430" t="str">
        <f>IF(Order_Details_PBI[[#This Row],[Profit Margine]]&lt;0," Loss",IF(Order_Details_PBI[[#This Row],[Profit Margine]]=0," Break-Even","Profit"))</f>
        <v>Profit</v>
      </c>
      <c r="I430" s="2">
        <v>43516</v>
      </c>
      <c r="J430" t="s">
        <v>587</v>
      </c>
      <c r="K430" t="str">
        <f>UPPER(List_of_Orders_PBI[[#This Row],[CustomerName]])</f>
        <v>RAMESH</v>
      </c>
      <c r="L430" t="s">
        <v>536</v>
      </c>
      <c r="M430" t="s">
        <v>537</v>
      </c>
      <c r="N430" t="str">
        <f>TEXT(List_of_Orders_PBI[[#This Row],[Order Date]],"DD-MMM-YYYY")</f>
        <v>20-Feb-2019</v>
      </c>
      <c r="O430" t="str">
        <f>_xlfn.CONCAT(List_of_Orders_PBI[[#This Row],[City]] &amp;" - "&amp; List_of_Orders_PBI[[#This Row],[State]])</f>
        <v>Ahmedabad - Gujarat</v>
      </c>
    </row>
    <row r="431" spans="1:15" x14ac:dyDescent="0.3">
      <c r="A431" t="s">
        <v>455</v>
      </c>
      <c r="B431">
        <v>92</v>
      </c>
      <c r="C431">
        <v>5</v>
      </c>
      <c r="D431">
        <v>6</v>
      </c>
      <c r="E431" t="s">
        <v>9</v>
      </c>
      <c r="F431" t="s">
        <v>11</v>
      </c>
      <c r="G431">
        <f>Order_Details_PBI[[#This Row],[Profit]]/Order_Details_PBI[[#This Row],[Amount]]</f>
        <v>5.434782608695652E-2</v>
      </c>
      <c r="H431" t="str">
        <f>IF(Order_Details_PBI[[#This Row],[Profit Margine]]&lt;0," Loss",IF(Order_Details_PBI[[#This Row],[Profit Margine]]=0," Break-Even","Profit"))</f>
        <v>Profit</v>
      </c>
      <c r="I431" s="2">
        <v>43517</v>
      </c>
      <c r="J431" t="s">
        <v>588</v>
      </c>
      <c r="K431" t="str">
        <f>UPPER(List_of_Orders_PBI[[#This Row],[CustomerName]])</f>
        <v>SARITA</v>
      </c>
      <c r="L431" t="s">
        <v>539</v>
      </c>
      <c r="M431" t="s">
        <v>540</v>
      </c>
      <c r="N431" t="str">
        <f>TEXT(List_of_Orders_PBI[[#This Row],[Order Date]],"DD-MMM-YYYY")</f>
        <v>21-Feb-2019</v>
      </c>
      <c r="O431" t="str">
        <f>_xlfn.CONCAT(List_of_Orders_PBI[[#This Row],[City]] &amp;" - "&amp; List_of_Orders_PBI[[#This Row],[State]])</f>
        <v>Pune - Maharashtra</v>
      </c>
    </row>
    <row r="432" spans="1:15" x14ac:dyDescent="0.3">
      <c r="A432" t="s">
        <v>456</v>
      </c>
      <c r="B432">
        <v>67</v>
      </c>
      <c r="C432">
        <v>9</v>
      </c>
      <c r="D432">
        <v>4</v>
      </c>
      <c r="E432" t="s">
        <v>9</v>
      </c>
      <c r="F432" t="s">
        <v>27</v>
      </c>
      <c r="G432">
        <f>Order_Details_PBI[[#This Row],[Profit]]/Order_Details_PBI[[#This Row],[Amount]]</f>
        <v>0.13432835820895522</v>
      </c>
      <c r="H432" t="str">
        <f>IF(Order_Details_PBI[[#This Row],[Profit Margine]]&lt;0," Loss",IF(Order_Details_PBI[[#This Row],[Profit Margine]]=0," Break-Even","Profit"))</f>
        <v>Profit</v>
      </c>
      <c r="I432" s="2">
        <v>43518</v>
      </c>
      <c r="J432" t="s">
        <v>589</v>
      </c>
      <c r="K432" t="str">
        <f>UPPER(List_of_Orders_PBI[[#This Row],[CustomerName]])</f>
        <v>DEEPAK</v>
      </c>
      <c r="L432" t="s">
        <v>542</v>
      </c>
      <c r="M432" t="s">
        <v>543</v>
      </c>
      <c r="N432" t="str">
        <f>TEXT(List_of_Orders_PBI[[#This Row],[Order Date]],"DD-MMM-YYYY")</f>
        <v>22-Feb-2019</v>
      </c>
      <c r="O432" t="str">
        <f>_xlfn.CONCAT(List_of_Orders_PBI[[#This Row],[City]] &amp;" - "&amp; List_of_Orders_PBI[[#This Row],[State]])</f>
        <v>Bhopal - Madhya Pradesh</v>
      </c>
    </row>
    <row r="433" spans="1:15" x14ac:dyDescent="0.3">
      <c r="A433" t="s">
        <v>457</v>
      </c>
      <c r="B433">
        <v>47</v>
      </c>
      <c r="C433">
        <v>15</v>
      </c>
      <c r="D433">
        <v>5</v>
      </c>
      <c r="E433" t="s">
        <v>9</v>
      </c>
      <c r="F433" t="s">
        <v>16</v>
      </c>
      <c r="G433">
        <f>Order_Details_PBI[[#This Row],[Profit]]/Order_Details_PBI[[#This Row],[Amount]]</f>
        <v>0.31914893617021278</v>
      </c>
      <c r="H433" t="str">
        <f>IF(Order_Details_PBI[[#This Row],[Profit Margine]]&lt;0," Loss",IF(Order_Details_PBI[[#This Row],[Profit Margine]]=0," Break-Even","Profit"))</f>
        <v>Profit</v>
      </c>
      <c r="I433" s="2">
        <v>43518</v>
      </c>
      <c r="J433" t="s">
        <v>590</v>
      </c>
      <c r="K433" t="str">
        <f>UPPER(List_of_Orders_PBI[[#This Row],[CustomerName]])</f>
        <v>MONISHA</v>
      </c>
      <c r="L433" t="s">
        <v>545</v>
      </c>
      <c r="M433" t="s">
        <v>546</v>
      </c>
      <c r="N433" t="str">
        <f>TEXT(List_of_Orders_PBI[[#This Row],[Order Date]],"DD-MMM-YYYY")</f>
        <v>22-Feb-2019</v>
      </c>
      <c r="O433" t="str">
        <f>_xlfn.CONCAT(List_of_Orders_PBI[[#This Row],[City]] &amp;" - "&amp; List_of_Orders_PBI[[#This Row],[State]])</f>
        <v>Jaipur - Rajasthan</v>
      </c>
    </row>
    <row r="434" spans="1:15" x14ac:dyDescent="0.3">
      <c r="A434" t="s">
        <v>458</v>
      </c>
      <c r="B434">
        <v>774</v>
      </c>
      <c r="C434">
        <v>170</v>
      </c>
      <c r="D434">
        <v>3</v>
      </c>
      <c r="E434" t="s">
        <v>12</v>
      </c>
      <c r="F434" t="s">
        <v>33</v>
      </c>
      <c r="G434">
        <f>Order_Details_PBI[[#This Row],[Profit]]/Order_Details_PBI[[#This Row],[Amount]]</f>
        <v>0.21963824289405684</v>
      </c>
      <c r="H434" t="str">
        <f>IF(Order_Details_PBI[[#This Row],[Profit Margine]]&lt;0," Loss",IF(Order_Details_PBI[[#This Row],[Profit Margine]]=0," Break-Even","Profit"))</f>
        <v>Profit</v>
      </c>
      <c r="I434" s="2">
        <v>43518</v>
      </c>
      <c r="J434" t="s">
        <v>591</v>
      </c>
      <c r="K434" t="str">
        <f>UPPER(List_of_Orders_PBI[[#This Row],[CustomerName]])</f>
        <v>ATHARV</v>
      </c>
      <c r="L434" t="s">
        <v>548</v>
      </c>
      <c r="M434" t="s">
        <v>549</v>
      </c>
      <c r="N434" t="str">
        <f>TEXT(List_of_Orders_PBI[[#This Row],[Order Date]],"DD-MMM-YYYY")</f>
        <v>22-Feb-2019</v>
      </c>
      <c r="O434" t="str">
        <f>_xlfn.CONCAT(List_of_Orders_PBI[[#This Row],[City]] &amp;" - "&amp; List_of_Orders_PBI[[#This Row],[State]])</f>
        <v>Kolkata - West Bengal</v>
      </c>
    </row>
    <row r="435" spans="1:15" x14ac:dyDescent="0.3">
      <c r="A435" t="s">
        <v>459</v>
      </c>
      <c r="B435">
        <v>425</v>
      </c>
      <c r="C435">
        <v>183</v>
      </c>
      <c r="D435">
        <v>5</v>
      </c>
      <c r="E435" t="s">
        <v>12</v>
      </c>
      <c r="F435" t="s">
        <v>33</v>
      </c>
      <c r="G435">
        <f>Order_Details_PBI[[#This Row],[Profit]]/Order_Details_PBI[[#This Row],[Amount]]</f>
        <v>0.43058823529411766</v>
      </c>
      <c r="H435" t="str">
        <f>IF(Order_Details_PBI[[#This Row],[Profit Margine]]&lt;0," Loss",IF(Order_Details_PBI[[#This Row],[Profit Margine]]=0," Break-Even","Profit"))</f>
        <v>Profit</v>
      </c>
      <c r="I435" s="2">
        <v>43519</v>
      </c>
      <c r="J435" t="s">
        <v>592</v>
      </c>
      <c r="K435" t="str">
        <f>UPPER(List_of_Orders_PBI[[#This Row],[CustomerName]])</f>
        <v>VINI</v>
      </c>
      <c r="L435" t="s">
        <v>551</v>
      </c>
      <c r="M435" t="s">
        <v>552</v>
      </c>
      <c r="N435" t="str">
        <f>TEXT(List_of_Orders_PBI[[#This Row],[Order Date]],"DD-MMM-YYYY")</f>
        <v>23-Feb-2019</v>
      </c>
      <c r="O435" t="str">
        <f>_xlfn.CONCAT(List_of_Orders_PBI[[#This Row],[City]] &amp;" - "&amp; List_of_Orders_PBI[[#This Row],[State]])</f>
        <v>Bangalore - Karnataka</v>
      </c>
    </row>
    <row r="436" spans="1:15" x14ac:dyDescent="0.3">
      <c r="A436" t="s">
        <v>460</v>
      </c>
      <c r="B436">
        <v>291</v>
      </c>
      <c r="C436">
        <v>119</v>
      </c>
      <c r="D436">
        <v>11</v>
      </c>
      <c r="E436" t="s">
        <v>9</v>
      </c>
      <c r="F436" t="s">
        <v>16</v>
      </c>
      <c r="G436">
        <f>Order_Details_PBI[[#This Row],[Profit]]/Order_Details_PBI[[#This Row],[Amount]]</f>
        <v>0.40893470790378006</v>
      </c>
      <c r="H436" t="str">
        <f>IF(Order_Details_PBI[[#This Row],[Profit Margine]]&lt;0," Loss",IF(Order_Details_PBI[[#This Row],[Profit Margine]]=0," Break-Even","Profit"))</f>
        <v>Profit</v>
      </c>
      <c r="I436" s="2">
        <v>43519</v>
      </c>
      <c r="J436" t="s">
        <v>593</v>
      </c>
      <c r="K436" t="str">
        <f>UPPER(List_of_Orders_PBI[[#This Row],[CustomerName]])</f>
        <v>PINKY</v>
      </c>
      <c r="L436" t="s">
        <v>554</v>
      </c>
      <c r="M436" t="s">
        <v>555</v>
      </c>
      <c r="N436" t="str">
        <f>TEXT(List_of_Orders_PBI[[#This Row],[Order Date]],"DD-MMM-YYYY")</f>
        <v>23-Feb-2019</v>
      </c>
      <c r="O436" t="str">
        <f>_xlfn.CONCAT(List_of_Orders_PBI[[#This Row],[City]] &amp;" - "&amp; List_of_Orders_PBI[[#This Row],[State]])</f>
        <v>Kashmir - Jammu and Kashmir</v>
      </c>
    </row>
    <row r="437" spans="1:15" x14ac:dyDescent="0.3">
      <c r="A437" t="s">
        <v>461</v>
      </c>
      <c r="B437">
        <v>341</v>
      </c>
      <c r="C437">
        <v>44</v>
      </c>
      <c r="D437">
        <v>7</v>
      </c>
      <c r="E437" t="s">
        <v>7</v>
      </c>
      <c r="F437" t="s">
        <v>34</v>
      </c>
      <c r="G437">
        <f>Order_Details_PBI[[#This Row],[Profit]]/Order_Details_PBI[[#This Row],[Amount]]</f>
        <v>0.12903225806451613</v>
      </c>
      <c r="H437" t="str">
        <f>IF(Order_Details_PBI[[#This Row],[Profit Margine]]&lt;0," Loss",IF(Order_Details_PBI[[#This Row],[Profit Margine]]=0," Break-Even","Profit"))</f>
        <v>Profit</v>
      </c>
      <c r="I437" s="2">
        <v>43519</v>
      </c>
      <c r="J437" t="s">
        <v>594</v>
      </c>
      <c r="K437" t="str">
        <f>UPPER(List_of_Orders_PBI[[#This Row],[CustomerName]])</f>
        <v>BHISHM</v>
      </c>
      <c r="L437" t="s">
        <v>539</v>
      </c>
      <c r="M437" t="s">
        <v>595</v>
      </c>
      <c r="N437" t="str">
        <f>TEXT(List_of_Orders_PBI[[#This Row],[Order Date]],"DD-MMM-YYYY")</f>
        <v>23-Feb-2019</v>
      </c>
      <c r="O437" t="str">
        <f>_xlfn.CONCAT(List_of_Orders_PBI[[#This Row],[City]] &amp;" - "&amp; List_of_Orders_PBI[[#This Row],[State]])</f>
        <v>Mumbai - Maharashtra</v>
      </c>
    </row>
    <row r="438" spans="1:15" x14ac:dyDescent="0.3">
      <c r="A438" t="s">
        <v>462</v>
      </c>
      <c r="B438">
        <v>171</v>
      </c>
      <c r="C438">
        <v>68</v>
      </c>
      <c r="D438">
        <v>7</v>
      </c>
      <c r="E438" t="s">
        <v>9</v>
      </c>
      <c r="F438" t="s">
        <v>10</v>
      </c>
      <c r="G438">
        <f>Order_Details_PBI[[#This Row],[Profit]]/Order_Details_PBI[[#This Row],[Amount]]</f>
        <v>0.39766081871345027</v>
      </c>
      <c r="H438" t="str">
        <f>IF(Order_Details_PBI[[#This Row],[Profit Margine]]&lt;0," Loss",IF(Order_Details_PBI[[#This Row],[Profit Margine]]=0," Break-Even","Profit"))</f>
        <v>Profit</v>
      </c>
      <c r="I438" s="2">
        <v>43519</v>
      </c>
      <c r="J438" t="s">
        <v>596</v>
      </c>
      <c r="K438" t="str">
        <f>UPPER(List_of_Orders_PBI[[#This Row],[CustomerName]])</f>
        <v>HITIKA</v>
      </c>
      <c r="L438" t="s">
        <v>542</v>
      </c>
      <c r="M438" t="s">
        <v>597</v>
      </c>
      <c r="N438" t="str">
        <f>TEXT(List_of_Orders_PBI[[#This Row],[Order Date]],"DD-MMM-YYYY")</f>
        <v>23-Feb-2019</v>
      </c>
      <c r="O438" t="str">
        <f>_xlfn.CONCAT(List_of_Orders_PBI[[#This Row],[City]] &amp;" - "&amp; List_of_Orders_PBI[[#This Row],[State]])</f>
        <v>Indore - Madhya Pradesh</v>
      </c>
    </row>
    <row r="439" spans="1:15" x14ac:dyDescent="0.3">
      <c r="A439" t="s">
        <v>463</v>
      </c>
      <c r="B439">
        <v>41</v>
      </c>
      <c r="C439">
        <v>19</v>
      </c>
      <c r="D439">
        <v>2</v>
      </c>
      <c r="E439" t="s">
        <v>9</v>
      </c>
      <c r="F439" t="s">
        <v>22</v>
      </c>
      <c r="G439">
        <f>Order_Details_PBI[[#This Row],[Profit]]/Order_Details_PBI[[#This Row],[Amount]]</f>
        <v>0.46341463414634149</v>
      </c>
      <c r="H439" t="str">
        <f>IF(Order_Details_PBI[[#This Row],[Profit Margine]]&lt;0," Loss",IF(Order_Details_PBI[[#This Row],[Profit Margine]]=0," Break-Even","Profit"))</f>
        <v>Profit</v>
      </c>
      <c r="I439" s="2">
        <v>43520</v>
      </c>
      <c r="J439" t="s">
        <v>598</v>
      </c>
      <c r="K439" t="str">
        <f>UPPER(List_of_Orders_PBI[[#This Row],[CustomerName]])</f>
        <v>POOJA</v>
      </c>
      <c r="L439" t="s">
        <v>563</v>
      </c>
      <c r="M439" t="s">
        <v>564</v>
      </c>
      <c r="N439" t="str">
        <f>TEXT(List_of_Orders_PBI[[#This Row],[Order Date]],"DD-MMM-YYYY")</f>
        <v>24-Feb-2019</v>
      </c>
      <c r="O439" t="str">
        <f>_xlfn.CONCAT(List_of_Orders_PBI[[#This Row],[City]] &amp;" - "&amp; List_of_Orders_PBI[[#This Row],[State]])</f>
        <v>Patna - Bihar</v>
      </c>
    </row>
    <row r="440" spans="1:15" x14ac:dyDescent="0.3">
      <c r="A440" t="s">
        <v>464</v>
      </c>
      <c r="B440">
        <v>83</v>
      </c>
      <c r="C440">
        <v>34</v>
      </c>
      <c r="D440">
        <v>5</v>
      </c>
      <c r="E440" t="s">
        <v>9</v>
      </c>
      <c r="F440" t="s">
        <v>25</v>
      </c>
      <c r="G440">
        <f>Order_Details_PBI[[#This Row],[Profit]]/Order_Details_PBI[[#This Row],[Amount]]</f>
        <v>0.40963855421686746</v>
      </c>
      <c r="H440" t="str">
        <f>IF(Order_Details_PBI[[#This Row],[Profit Margine]]&lt;0," Loss",IF(Order_Details_PBI[[#This Row],[Profit Margine]]=0," Break-Even","Profit"))</f>
        <v>Profit</v>
      </c>
      <c r="I440" s="2">
        <v>43521</v>
      </c>
      <c r="J440" t="s">
        <v>599</v>
      </c>
      <c r="K440" t="str">
        <f>UPPER(List_of_Orders_PBI[[#This Row],[CustomerName]])</f>
        <v>HEMANT</v>
      </c>
      <c r="L440" t="s">
        <v>566</v>
      </c>
      <c r="M440" t="s">
        <v>567</v>
      </c>
      <c r="N440" t="str">
        <f>TEXT(List_of_Orders_PBI[[#This Row],[Order Date]],"DD-MMM-YYYY")</f>
        <v>25-Feb-2019</v>
      </c>
      <c r="O440" t="str">
        <f>_xlfn.CONCAT(List_of_Orders_PBI[[#This Row],[City]] &amp;" - "&amp; List_of_Orders_PBI[[#This Row],[State]])</f>
        <v xml:space="preserve">Thiruvananthapuram - Kerala </v>
      </c>
    </row>
    <row r="441" spans="1:15" x14ac:dyDescent="0.3">
      <c r="A441" t="s">
        <v>465</v>
      </c>
      <c r="B441">
        <v>38</v>
      </c>
      <c r="C441">
        <v>9</v>
      </c>
      <c r="D441">
        <v>2</v>
      </c>
      <c r="E441" t="s">
        <v>9</v>
      </c>
      <c r="F441" t="s">
        <v>10</v>
      </c>
      <c r="G441">
        <f>Order_Details_PBI[[#This Row],[Profit]]/Order_Details_PBI[[#This Row],[Amount]]</f>
        <v>0.23684210526315788</v>
      </c>
      <c r="H441" t="str">
        <f>IF(Order_Details_PBI[[#This Row],[Profit Margine]]&lt;0," Loss",IF(Order_Details_PBI[[#This Row],[Profit Margine]]=0," Break-Even","Profit"))</f>
        <v>Profit</v>
      </c>
      <c r="I441" s="2">
        <v>43522</v>
      </c>
      <c r="J441" t="s">
        <v>600</v>
      </c>
      <c r="K441" t="str">
        <f>UPPER(List_of_Orders_PBI[[#This Row],[CustomerName]])</f>
        <v>SAHIL</v>
      </c>
      <c r="L441" t="s">
        <v>569</v>
      </c>
      <c r="M441" t="s">
        <v>570</v>
      </c>
      <c r="N441" t="str">
        <f>TEXT(List_of_Orders_PBI[[#This Row],[Order Date]],"DD-MMM-YYYY")</f>
        <v>26-Feb-2019</v>
      </c>
      <c r="O441" t="str">
        <f>_xlfn.CONCAT(List_of_Orders_PBI[[#This Row],[City]] &amp;" - "&amp; List_of_Orders_PBI[[#This Row],[State]])</f>
        <v>Chandigarh - Punjab</v>
      </c>
    </row>
    <row r="442" spans="1:15" x14ac:dyDescent="0.3">
      <c r="A442" t="s">
        <v>466</v>
      </c>
      <c r="B442">
        <v>176</v>
      </c>
      <c r="C442">
        <v>-28</v>
      </c>
      <c r="D442">
        <v>5</v>
      </c>
      <c r="E442" t="s">
        <v>7</v>
      </c>
      <c r="F442" t="s">
        <v>34</v>
      </c>
      <c r="G442">
        <f>Order_Details_PBI[[#This Row],[Profit]]/Order_Details_PBI[[#This Row],[Amount]]</f>
        <v>-0.15909090909090909</v>
      </c>
      <c r="H442" t="str">
        <f>IF(Order_Details_PBI[[#This Row],[Profit Margine]]&lt;0," Loss",IF(Order_Details_PBI[[#This Row],[Profit Margine]]=0," Break-Even","Profit"))</f>
        <v xml:space="preserve"> Loss</v>
      </c>
      <c r="I442" s="2">
        <v>43523</v>
      </c>
      <c r="J442" t="s">
        <v>601</v>
      </c>
      <c r="K442" t="str">
        <f>UPPER(List_of_Orders_PBI[[#This Row],[CustomerName]])</f>
        <v>RITU</v>
      </c>
      <c r="L442" t="s">
        <v>572</v>
      </c>
      <c r="M442" t="s">
        <v>570</v>
      </c>
      <c r="N442" t="str">
        <f>TEXT(List_of_Orders_PBI[[#This Row],[Order Date]],"DD-MMM-YYYY")</f>
        <v>27-Feb-2019</v>
      </c>
      <c r="O442" t="str">
        <f>_xlfn.CONCAT(List_of_Orders_PBI[[#This Row],[City]] &amp;" - "&amp; List_of_Orders_PBI[[#This Row],[State]])</f>
        <v>Chandigarh - Haryana</v>
      </c>
    </row>
    <row r="443" spans="1:15" x14ac:dyDescent="0.3">
      <c r="A443" t="s">
        <v>467</v>
      </c>
      <c r="B443">
        <v>36</v>
      </c>
      <c r="C443">
        <v>15</v>
      </c>
      <c r="D443">
        <v>3</v>
      </c>
      <c r="E443" t="s">
        <v>9</v>
      </c>
      <c r="F443" t="s">
        <v>10</v>
      </c>
      <c r="G443">
        <f>Order_Details_PBI[[#This Row],[Profit]]/Order_Details_PBI[[#This Row],[Amount]]</f>
        <v>0.41666666666666669</v>
      </c>
      <c r="H443" t="str">
        <f>IF(Order_Details_PBI[[#This Row],[Profit Margine]]&lt;0," Loss",IF(Order_Details_PBI[[#This Row],[Profit Margine]]=0," Break-Even","Profit"))</f>
        <v>Profit</v>
      </c>
      <c r="I443" s="2">
        <v>43524</v>
      </c>
      <c r="J443" t="s">
        <v>602</v>
      </c>
      <c r="K443" t="str">
        <f>UPPER(List_of_Orders_PBI[[#This Row],[CustomerName]])</f>
        <v>MANISH</v>
      </c>
      <c r="L443" t="s">
        <v>574</v>
      </c>
      <c r="M443" t="s">
        <v>575</v>
      </c>
      <c r="N443" t="str">
        <f>TEXT(List_of_Orders_PBI[[#This Row],[Order Date]],"DD-MMM-YYYY")</f>
        <v>28-Feb-2019</v>
      </c>
      <c r="O443" t="str">
        <f>_xlfn.CONCAT(List_of_Orders_PBI[[#This Row],[City]] &amp;" - "&amp; List_of_Orders_PBI[[#This Row],[State]])</f>
        <v>Simla - Himachal Pradesh</v>
      </c>
    </row>
    <row r="444" spans="1:15" x14ac:dyDescent="0.3">
      <c r="A444" t="s">
        <v>468</v>
      </c>
      <c r="B444">
        <v>185</v>
      </c>
      <c r="C444">
        <v>48</v>
      </c>
      <c r="D444">
        <v>4</v>
      </c>
      <c r="E444" t="s">
        <v>9</v>
      </c>
      <c r="F444" t="s">
        <v>10</v>
      </c>
      <c r="G444">
        <f>Order_Details_PBI[[#This Row],[Profit]]/Order_Details_PBI[[#This Row],[Amount]]</f>
        <v>0.25945945945945947</v>
      </c>
      <c r="H444" t="str">
        <f>IF(Order_Details_PBI[[#This Row],[Profit Margine]]&lt;0," Loss",IF(Order_Details_PBI[[#This Row],[Profit Margine]]=0," Break-Even","Profit"))</f>
        <v>Profit</v>
      </c>
      <c r="I444" s="2">
        <v>43525</v>
      </c>
      <c r="J444" t="s">
        <v>603</v>
      </c>
      <c r="K444" t="str">
        <f>UPPER(List_of_Orders_PBI[[#This Row],[CustomerName]])</f>
        <v>AMIT</v>
      </c>
      <c r="L444" t="s">
        <v>577</v>
      </c>
      <c r="M444" t="s">
        <v>578</v>
      </c>
      <c r="N444" t="str">
        <f>TEXT(List_of_Orders_PBI[[#This Row],[Order Date]],"DD-MMM-YYYY")</f>
        <v>01-Mar-2019</v>
      </c>
      <c r="O444" t="str">
        <f>_xlfn.CONCAT(List_of_Orders_PBI[[#This Row],[City]] &amp;" - "&amp; List_of_Orders_PBI[[#This Row],[State]])</f>
        <v>Gangtok - Sikkim</v>
      </c>
    </row>
    <row r="445" spans="1:15" x14ac:dyDescent="0.3">
      <c r="A445" t="s">
        <v>469</v>
      </c>
      <c r="B445">
        <v>28</v>
      </c>
      <c r="C445">
        <v>10</v>
      </c>
      <c r="D445">
        <v>3</v>
      </c>
      <c r="E445" t="s">
        <v>9</v>
      </c>
      <c r="F445" t="s">
        <v>53</v>
      </c>
      <c r="G445">
        <f>Order_Details_PBI[[#This Row],[Profit]]/Order_Details_PBI[[#This Row],[Amount]]</f>
        <v>0.35714285714285715</v>
      </c>
      <c r="H445" t="str">
        <f>IF(Order_Details_PBI[[#This Row],[Profit Margine]]&lt;0," Loss",IF(Order_Details_PBI[[#This Row],[Profit Margine]]=0," Break-Even","Profit"))</f>
        <v>Profit</v>
      </c>
      <c r="I445" s="2">
        <v>43526</v>
      </c>
      <c r="J445" t="s">
        <v>604</v>
      </c>
      <c r="K445" t="str">
        <f>UPPER(List_of_Orders_PBI[[#This Row],[CustomerName]])</f>
        <v>SANJAY</v>
      </c>
      <c r="L445" t="s">
        <v>580</v>
      </c>
      <c r="M445" t="s">
        <v>580</v>
      </c>
      <c r="N445" t="str">
        <f>TEXT(List_of_Orders_PBI[[#This Row],[Order Date]],"DD-MMM-YYYY")</f>
        <v>02-Mar-2019</v>
      </c>
      <c r="O445" t="str">
        <f>_xlfn.CONCAT(List_of_Orders_PBI[[#This Row],[City]] &amp;" - "&amp; List_of_Orders_PBI[[#This Row],[State]])</f>
        <v>Goa - Goa</v>
      </c>
    </row>
    <row r="446" spans="1:15" x14ac:dyDescent="0.3">
      <c r="A446" t="s">
        <v>470</v>
      </c>
      <c r="B446">
        <v>302</v>
      </c>
      <c r="C446">
        <v>75</v>
      </c>
      <c r="D446">
        <v>6</v>
      </c>
      <c r="E446" t="s">
        <v>7</v>
      </c>
      <c r="F446" t="s">
        <v>34</v>
      </c>
      <c r="G446">
        <f>Order_Details_PBI[[#This Row],[Profit]]/Order_Details_PBI[[#This Row],[Amount]]</f>
        <v>0.24834437086092714</v>
      </c>
      <c r="H446" t="str">
        <f>IF(Order_Details_PBI[[#This Row],[Profit Margine]]&lt;0," Loss",IF(Order_Details_PBI[[#This Row],[Profit Margine]]=0," Break-Even","Profit"))</f>
        <v>Profit</v>
      </c>
      <c r="I446" s="2">
        <v>43527</v>
      </c>
      <c r="J446" t="s">
        <v>605</v>
      </c>
      <c r="K446" t="str">
        <f>UPPER(List_of_Orders_PBI[[#This Row],[CustomerName]])</f>
        <v>NIDHI</v>
      </c>
      <c r="L446" t="s">
        <v>582</v>
      </c>
      <c r="M446" t="s">
        <v>583</v>
      </c>
      <c r="N446" t="str">
        <f>TEXT(List_of_Orders_PBI[[#This Row],[Order Date]],"DD-MMM-YYYY")</f>
        <v>03-Mar-2019</v>
      </c>
      <c r="O446" t="str">
        <f>_xlfn.CONCAT(List_of_Orders_PBI[[#This Row],[City]] &amp;" - "&amp; List_of_Orders_PBI[[#This Row],[State]])</f>
        <v>Kohima - Nagaland</v>
      </c>
    </row>
    <row r="447" spans="1:15" x14ac:dyDescent="0.3">
      <c r="A447" t="s">
        <v>471</v>
      </c>
      <c r="B447">
        <v>32</v>
      </c>
      <c r="C447">
        <v>3</v>
      </c>
      <c r="D447">
        <v>8</v>
      </c>
      <c r="E447" t="s">
        <v>9</v>
      </c>
      <c r="F447" t="s">
        <v>11</v>
      </c>
      <c r="G447">
        <f>Order_Details_PBI[[#This Row],[Profit]]/Order_Details_PBI[[#This Row],[Amount]]</f>
        <v>9.375E-2</v>
      </c>
      <c r="H447" t="str">
        <f>IF(Order_Details_PBI[[#This Row],[Profit Margine]]&lt;0," Loss",IF(Order_Details_PBI[[#This Row],[Profit Margine]]=0," Break-Even","Profit"))</f>
        <v>Profit</v>
      </c>
      <c r="I447" s="2">
        <v>43528</v>
      </c>
      <c r="J447" t="s">
        <v>606</v>
      </c>
      <c r="K447" t="str">
        <f>UPPER(List_of_Orders_PBI[[#This Row],[CustomerName]])</f>
        <v>NISHI</v>
      </c>
      <c r="L447" t="s">
        <v>539</v>
      </c>
      <c r="M447" t="s">
        <v>595</v>
      </c>
      <c r="N447" t="str">
        <f>TEXT(List_of_Orders_PBI[[#This Row],[Order Date]],"DD-MMM-YYYY")</f>
        <v>04-Mar-2019</v>
      </c>
      <c r="O447" t="str">
        <f>_xlfn.CONCAT(List_of_Orders_PBI[[#This Row],[City]] &amp;" - "&amp; List_of_Orders_PBI[[#This Row],[State]])</f>
        <v>Mumbai - Maharashtra</v>
      </c>
    </row>
    <row r="448" spans="1:15" x14ac:dyDescent="0.3">
      <c r="A448" t="s">
        <v>472</v>
      </c>
      <c r="B448">
        <v>55</v>
      </c>
      <c r="C448">
        <v>12</v>
      </c>
      <c r="D448">
        <v>5</v>
      </c>
      <c r="E448" t="s">
        <v>9</v>
      </c>
      <c r="F448" t="s">
        <v>53</v>
      </c>
      <c r="G448">
        <f>Order_Details_PBI[[#This Row],[Profit]]/Order_Details_PBI[[#This Row],[Amount]]</f>
        <v>0.21818181818181817</v>
      </c>
      <c r="H448" t="str">
        <f>IF(Order_Details_PBI[[#This Row],[Profit Margine]]&lt;0," Loss",IF(Order_Details_PBI[[#This Row],[Profit Margine]]=0," Break-Even","Profit"))</f>
        <v>Profit</v>
      </c>
      <c r="I448" s="2">
        <v>43528</v>
      </c>
      <c r="J448" t="s">
        <v>607</v>
      </c>
      <c r="K448" t="str">
        <f>UPPER(List_of_Orders_PBI[[#This Row],[CustomerName]])</f>
        <v>ASHMI</v>
      </c>
      <c r="L448" t="s">
        <v>542</v>
      </c>
      <c r="M448" t="s">
        <v>597</v>
      </c>
      <c r="N448" t="str">
        <f>TEXT(List_of_Orders_PBI[[#This Row],[Order Date]],"DD-MMM-YYYY")</f>
        <v>04-Mar-2019</v>
      </c>
      <c r="O448" t="str">
        <f>_xlfn.CONCAT(List_of_Orders_PBI[[#This Row],[City]] &amp;" - "&amp; List_of_Orders_PBI[[#This Row],[State]])</f>
        <v>Indore - Madhya Pradesh</v>
      </c>
    </row>
    <row r="449" spans="1:15" x14ac:dyDescent="0.3">
      <c r="A449" t="s">
        <v>473</v>
      </c>
      <c r="B449">
        <v>163</v>
      </c>
      <c r="C449">
        <v>81</v>
      </c>
      <c r="D449">
        <v>2</v>
      </c>
      <c r="E449" t="s">
        <v>12</v>
      </c>
      <c r="F449" t="s">
        <v>33</v>
      </c>
      <c r="G449">
        <f>Order_Details_PBI[[#This Row],[Profit]]/Order_Details_PBI[[#This Row],[Amount]]</f>
        <v>0.49693251533742333</v>
      </c>
      <c r="H449" t="str">
        <f>IF(Order_Details_PBI[[#This Row],[Profit Margine]]&lt;0," Loss",IF(Order_Details_PBI[[#This Row],[Profit Margine]]=0," Break-Even","Profit"))</f>
        <v>Profit</v>
      </c>
      <c r="I449" s="2">
        <v>43528</v>
      </c>
      <c r="J449" t="s">
        <v>608</v>
      </c>
      <c r="K449" t="str">
        <f>UPPER(List_of_Orders_PBI[[#This Row],[CustomerName]])</f>
        <v>PARTH</v>
      </c>
      <c r="L449" t="s">
        <v>539</v>
      </c>
      <c r="M449" t="s">
        <v>540</v>
      </c>
      <c r="N449" t="str">
        <f>TEXT(List_of_Orders_PBI[[#This Row],[Order Date]],"DD-MMM-YYYY")</f>
        <v>04-Mar-2019</v>
      </c>
      <c r="O449" t="str">
        <f>_xlfn.CONCAT(List_of_Orders_PBI[[#This Row],[City]] &amp;" - "&amp; List_of_Orders_PBI[[#This Row],[State]])</f>
        <v>Pune - Maharashtra</v>
      </c>
    </row>
    <row r="450" spans="1:15" x14ac:dyDescent="0.3">
      <c r="A450" t="s">
        <v>474</v>
      </c>
      <c r="B450">
        <v>100</v>
      </c>
      <c r="C450">
        <v>28</v>
      </c>
      <c r="D450">
        <v>2</v>
      </c>
      <c r="E450" t="s">
        <v>9</v>
      </c>
      <c r="F450" t="s">
        <v>11</v>
      </c>
      <c r="G450">
        <f>Order_Details_PBI[[#This Row],[Profit]]/Order_Details_PBI[[#This Row],[Amount]]</f>
        <v>0.28000000000000003</v>
      </c>
      <c r="H450" t="str">
        <f>IF(Order_Details_PBI[[#This Row],[Profit Margine]]&lt;0," Loss",IF(Order_Details_PBI[[#This Row],[Profit Margine]]=0," Break-Even","Profit"))</f>
        <v>Profit</v>
      </c>
      <c r="I450" s="2">
        <v>43529</v>
      </c>
      <c r="J450" t="s">
        <v>609</v>
      </c>
      <c r="K450" t="str">
        <f>UPPER(List_of_Orders_PBI[[#This Row],[CustomerName]])</f>
        <v>LISHA</v>
      </c>
      <c r="L450" t="s">
        <v>542</v>
      </c>
      <c r="M450" t="s">
        <v>543</v>
      </c>
      <c r="N450" t="str">
        <f>TEXT(List_of_Orders_PBI[[#This Row],[Order Date]],"DD-MMM-YYYY")</f>
        <v>05-Mar-2019</v>
      </c>
      <c r="O450" t="str">
        <f>_xlfn.CONCAT(List_of_Orders_PBI[[#This Row],[City]] &amp;" - "&amp; List_of_Orders_PBI[[#This Row],[State]])</f>
        <v>Bhopal - Madhya Pradesh</v>
      </c>
    </row>
    <row r="451" spans="1:15" x14ac:dyDescent="0.3">
      <c r="A451" t="s">
        <v>475</v>
      </c>
      <c r="B451">
        <v>325</v>
      </c>
      <c r="C451">
        <v>32</v>
      </c>
      <c r="D451">
        <v>7</v>
      </c>
      <c r="E451" t="s">
        <v>9</v>
      </c>
      <c r="F451" t="s">
        <v>22</v>
      </c>
      <c r="G451">
        <f>Order_Details_PBI[[#This Row],[Profit]]/Order_Details_PBI[[#This Row],[Amount]]</f>
        <v>9.8461538461538461E-2</v>
      </c>
      <c r="H451" t="str">
        <f>IF(Order_Details_PBI[[#This Row],[Profit Margine]]&lt;0," Loss",IF(Order_Details_PBI[[#This Row],[Profit Margine]]=0," Break-Even","Profit"))</f>
        <v>Profit</v>
      </c>
      <c r="I451" s="2">
        <v>43530</v>
      </c>
      <c r="J451" t="s">
        <v>610</v>
      </c>
      <c r="K451" t="str">
        <f>UPPER(List_of_Orders_PBI[[#This Row],[CustomerName]])</f>
        <v>PARIDHI</v>
      </c>
      <c r="L451" t="s">
        <v>545</v>
      </c>
      <c r="M451" t="s">
        <v>546</v>
      </c>
      <c r="N451" t="str">
        <f>TEXT(List_of_Orders_PBI[[#This Row],[Order Date]],"DD-MMM-YYYY")</f>
        <v>06-Mar-2019</v>
      </c>
      <c r="O451" t="str">
        <f>_xlfn.CONCAT(List_of_Orders_PBI[[#This Row],[City]] &amp;" - "&amp; List_of_Orders_PBI[[#This Row],[State]])</f>
        <v>Jaipur - Rajasthan</v>
      </c>
    </row>
    <row r="452" spans="1:15" x14ac:dyDescent="0.3">
      <c r="A452" t="s">
        <v>476</v>
      </c>
      <c r="B452">
        <v>184</v>
      </c>
      <c r="C452">
        <v>85</v>
      </c>
      <c r="D452">
        <v>6</v>
      </c>
      <c r="E452" t="s">
        <v>9</v>
      </c>
      <c r="F452" t="s">
        <v>22</v>
      </c>
      <c r="G452">
        <f>Order_Details_PBI[[#This Row],[Profit]]/Order_Details_PBI[[#This Row],[Amount]]</f>
        <v>0.46195652173913043</v>
      </c>
      <c r="H452" t="str">
        <f>IF(Order_Details_PBI[[#This Row],[Profit Margine]]&lt;0," Loss",IF(Order_Details_PBI[[#This Row],[Profit Margine]]=0," Break-Even","Profit"))</f>
        <v>Profit</v>
      </c>
      <c r="I452" s="2">
        <v>43531</v>
      </c>
      <c r="J452" t="s">
        <v>611</v>
      </c>
      <c r="K452" t="str">
        <f>UPPER(List_of_Orders_PBI[[#This Row],[CustomerName]])</f>
        <v>PARISHI</v>
      </c>
      <c r="L452" t="s">
        <v>548</v>
      </c>
      <c r="M452" t="s">
        <v>549</v>
      </c>
      <c r="N452" t="str">
        <f>TEXT(List_of_Orders_PBI[[#This Row],[Order Date]],"DD-MMM-YYYY")</f>
        <v>07-Mar-2019</v>
      </c>
      <c r="O452" t="str">
        <f>_xlfn.CONCAT(List_of_Orders_PBI[[#This Row],[City]] &amp;" - "&amp; List_of_Orders_PBI[[#This Row],[State]])</f>
        <v>Kolkata - West Bengal</v>
      </c>
    </row>
    <row r="453" spans="1:15" x14ac:dyDescent="0.3">
      <c r="A453" t="s">
        <v>477</v>
      </c>
      <c r="B453">
        <v>78</v>
      </c>
      <c r="C453">
        <v>28</v>
      </c>
      <c r="D453">
        <v>6</v>
      </c>
      <c r="E453" t="s">
        <v>9</v>
      </c>
      <c r="F453" t="s">
        <v>20</v>
      </c>
      <c r="G453">
        <f>Order_Details_PBI[[#This Row],[Profit]]/Order_Details_PBI[[#This Row],[Amount]]</f>
        <v>0.35897435897435898</v>
      </c>
      <c r="H453" t="str">
        <f>IF(Order_Details_PBI[[#This Row],[Profit Margine]]&lt;0," Loss",IF(Order_Details_PBI[[#This Row],[Profit Margine]]=0," Break-Even","Profit"))</f>
        <v>Profit</v>
      </c>
      <c r="I453" s="2">
        <v>43532</v>
      </c>
      <c r="J453" t="s">
        <v>612</v>
      </c>
      <c r="K453" t="str">
        <f>UPPER(List_of_Orders_PBI[[#This Row],[CustomerName]])</f>
        <v>AJAY</v>
      </c>
      <c r="L453" t="s">
        <v>551</v>
      </c>
      <c r="M453" t="s">
        <v>552</v>
      </c>
      <c r="N453" t="str">
        <f>TEXT(List_of_Orders_PBI[[#This Row],[Order Date]],"DD-MMM-YYYY")</f>
        <v>08-Mar-2019</v>
      </c>
      <c r="O453" t="str">
        <f>_xlfn.CONCAT(List_of_Orders_PBI[[#This Row],[City]] &amp;" - "&amp; List_of_Orders_PBI[[#This Row],[State]])</f>
        <v>Bangalore - Karnataka</v>
      </c>
    </row>
    <row r="454" spans="1:15" x14ac:dyDescent="0.3">
      <c r="A454" t="s">
        <v>478</v>
      </c>
      <c r="B454">
        <v>17</v>
      </c>
      <c r="C454">
        <v>1</v>
      </c>
      <c r="D454">
        <v>2</v>
      </c>
      <c r="E454" t="s">
        <v>9</v>
      </c>
      <c r="F454" t="s">
        <v>53</v>
      </c>
      <c r="G454">
        <f>Order_Details_PBI[[#This Row],[Profit]]/Order_Details_PBI[[#This Row],[Amount]]</f>
        <v>5.8823529411764705E-2</v>
      </c>
      <c r="H454" t="str">
        <f>IF(Order_Details_PBI[[#This Row],[Profit Margine]]&lt;0," Loss",IF(Order_Details_PBI[[#This Row],[Profit Margine]]=0," Break-Even","Profit"))</f>
        <v>Profit</v>
      </c>
      <c r="I454" s="2">
        <v>43533</v>
      </c>
      <c r="J454" t="s">
        <v>613</v>
      </c>
      <c r="K454" t="str">
        <f>UPPER(List_of_Orders_PBI[[#This Row],[CustomerName]])</f>
        <v>KIRTI</v>
      </c>
      <c r="L454" t="s">
        <v>554</v>
      </c>
      <c r="M454" t="s">
        <v>555</v>
      </c>
      <c r="N454" t="str">
        <f>TEXT(List_of_Orders_PBI[[#This Row],[Order Date]],"DD-MMM-YYYY")</f>
        <v>09-Mar-2019</v>
      </c>
      <c r="O454" t="str">
        <f>_xlfn.CONCAT(List_of_Orders_PBI[[#This Row],[City]] &amp;" - "&amp; List_of_Orders_PBI[[#This Row],[State]])</f>
        <v>Kashmir - Jammu and Kashmir</v>
      </c>
    </row>
    <row r="455" spans="1:15" x14ac:dyDescent="0.3">
      <c r="A455" t="s">
        <v>479</v>
      </c>
      <c r="B455">
        <v>246</v>
      </c>
      <c r="C455">
        <v>98</v>
      </c>
      <c r="D455">
        <v>5</v>
      </c>
      <c r="E455" t="s">
        <v>9</v>
      </c>
      <c r="F455" t="s">
        <v>11</v>
      </c>
      <c r="G455">
        <f>Order_Details_PBI[[#This Row],[Profit]]/Order_Details_PBI[[#This Row],[Amount]]</f>
        <v>0.3983739837398374</v>
      </c>
      <c r="H455" t="str">
        <f>IF(Order_Details_PBI[[#This Row],[Profit Margine]]&lt;0," Loss",IF(Order_Details_PBI[[#This Row],[Profit Margine]]=0," Break-Even","Profit"))</f>
        <v>Profit</v>
      </c>
      <c r="I455" s="2">
        <v>43534</v>
      </c>
      <c r="J455" t="s">
        <v>614</v>
      </c>
      <c r="K455" t="str">
        <f>UPPER(List_of_Orders_PBI[[#This Row],[CustomerName]])</f>
        <v>MAYANK</v>
      </c>
      <c r="L455" t="s">
        <v>539</v>
      </c>
      <c r="M455" t="s">
        <v>595</v>
      </c>
      <c r="N455" t="str">
        <f>TEXT(List_of_Orders_PBI[[#This Row],[Order Date]],"DD-MMM-YYYY")</f>
        <v>10-Mar-2019</v>
      </c>
      <c r="O455" t="str">
        <f>_xlfn.CONCAT(List_of_Orders_PBI[[#This Row],[City]] &amp;" - "&amp; List_of_Orders_PBI[[#This Row],[State]])</f>
        <v>Mumbai - Maharashtra</v>
      </c>
    </row>
    <row r="456" spans="1:15" x14ac:dyDescent="0.3">
      <c r="A456" t="s">
        <v>480</v>
      </c>
      <c r="B456">
        <v>227</v>
      </c>
      <c r="C456">
        <v>48</v>
      </c>
      <c r="D456">
        <v>5</v>
      </c>
      <c r="E456" t="s">
        <v>9</v>
      </c>
      <c r="F456" t="s">
        <v>10</v>
      </c>
      <c r="G456">
        <f>Order_Details_PBI[[#This Row],[Profit]]/Order_Details_PBI[[#This Row],[Amount]]</f>
        <v>0.21145374449339208</v>
      </c>
      <c r="H456" t="str">
        <f>IF(Order_Details_PBI[[#This Row],[Profit Margine]]&lt;0," Loss",IF(Order_Details_PBI[[#This Row],[Profit Margine]]=0," Break-Even","Profit"))</f>
        <v>Profit</v>
      </c>
      <c r="I456" s="2">
        <v>43534</v>
      </c>
      <c r="J456" t="s">
        <v>615</v>
      </c>
      <c r="K456" t="str">
        <f>UPPER(List_of_Orders_PBI[[#This Row],[CustomerName]])</f>
        <v>YAANVI</v>
      </c>
      <c r="L456" t="s">
        <v>542</v>
      </c>
      <c r="M456" t="s">
        <v>597</v>
      </c>
      <c r="N456" t="str">
        <f>TEXT(List_of_Orders_PBI[[#This Row],[Order Date]],"DD-MMM-YYYY")</f>
        <v>10-Mar-2019</v>
      </c>
      <c r="O456" t="str">
        <f>_xlfn.CONCAT(List_of_Orders_PBI[[#This Row],[City]] &amp;" - "&amp; List_of_Orders_PBI[[#This Row],[State]])</f>
        <v>Indore - Madhya Pradesh</v>
      </c>
    </row>
    <row r="457" spans="1:15" x14ac:dyDescent="0.3">
      <c r="A457" t="s">
        <v>481</v>
      </c>
      <c r="B457">
        <v>70</v>
      </c>
      <c r="C457">
        <v>24</v>
      </c>
      <c r="D457">
        <v>3</v>
      </c>
      <c r="E457" t="s">
        <v>9</v>
      </c>
      <c r="F457" t="s">
        <v>10</v>
      </c>
      <c r="G457">
        <f>Order_Details_PBI[[#This Row],[Profit]]/Order_Details_PBI[[#This Row],[Amount]]</f>
        <v>0.34285714285714286</v>
      </c>
      <c r="H457" t="str">
        <f>IF(Order_Details_PBI[[#This Row],[Profit Margine]]&lt;0," Loss",IF(Order_Details_PBI[[#This Row],[Profit Margine]]=0," Break-Even","Profit"))</f>
        <v>Profit</v>
      </c>
      <c r="I457" s="2">
        <v>43534</v>
      </c>
      <c r="J457" t="s">
        <v>616</v>
      </c>
      <c r="K457" t="str">
        <f>UPPER(List_of_Orders_PBI[[#This Row],[CustomerName]])</f>
        <v>SONAL</v>
      </c>
      <c r="L457" t="s">
        <v>563</v>
      </c>
      <c r="M457" t="s">
        <v>564</v>
      </c>
      <c r="N457" t="str">
        <f>TEXT(List_of_Orders_PBI[[#This Row],[Order Date]],"DD-MMM-YYYY")</f>
        <v>10-Mar-2019</v>
      </c>
      <c r="O457" t="str">
        <f>_xlfn.CONCAT(List_of_Orders_PBI[[#This Row],[City]] &amp;" - "&amp; List_of_Orders_PBI[[#This Row],[State]])</f>
        <v>Patna - Bihar</v>
      </c>
    </row>
    <row r="458" spans="1:15" x14ac:dyDescent="0.3">
      <c r="A458" t="s">
        <v>482</v>
      </c>
      <c r="B458">
        <v>736</v>
      </c>
      <c r="C458">
        <v>346</v>
      </c>
      <c r="D458">
        <v>5</v>
      </c>
      <c r="E458" t="s">
        <v>12</v>
      </c>
      <c r="F458" t="s">
        <v>30</v>
      </c>
      <c r="G458">
        <f>Order_Details_PBI[[#This Row],[Profit]]/Order_Details_PBI[[#This Row],[Amount]]</f>
        <v>0.47010869565217389</v>
      </c>
      <c r="H458" t="str">
        <f>IF(Order_Details_PBI[[#This Row],[Profit Margine]]&lt;0," Loss",IF(Order_Details_PBI[[#This Row],[Profit Margine]]=0," Break-Even","Profit"))</f>
        <v>Profit</v>
      </c>
      <c r="I458" s="2">
        <v>43534</v>
      </c>
      <c r="J458" t="s">
        <v>617</v>
      </c>
      <c r="K458" t="str">
        <f>UPPER(List_of_Orders_PBI[[#This Row],[CustomerName]])</f>
        <v>SHARDA</v>
      </c>
      <c r="L458" t="s">
        <v>566</v>
      </c>
      <c r="M458" t="s">
        <v>567</v>
      </c>
      <c r="N458" t="str">
        <f>TEXT(List_of_Orders_PBI[[#This Row],[Order Date]],"DD-MMM-YYYY")</f>
        <v>10-Mar-2019</v>
      </c>
      <c r="O458" t="str">
        <f>_xlfn.CONCAT(List_of_Orders_PBI[[#This Row],[City]] &amp;" - "&amp; List_of_Orders_PBI[[#This Row],[State]])</f>
        <v xml:space="preserve">Thiruvananthapuram - Kerala </v>
      </c>
    </row>
    <row r="459" spans="1:15" x14ac:dyDescent="0.3">
      <c r="A459" t="s">
        <v>483</v>
      </c>
      <c r="B459">
        <v>212</v>
      </c>
      <c r="C459">
        <v>97</v>
      </c>
      <c r="D459">
        <v>7</v>
      </c>
      <c r="E459" t="s">
        <v>9</v>
      </c>
      <c r="F459" t="s">
        <v>11</v>
      </c>
      <c r="G459">
        <f>Order_Details_PBI[[#This Row],[Profit]]/Order_Details_PBI[[#This Row],[Amount]]</f>
        <v>0.45754716981132076</v>
      </c>
      <c r="H459" t="str">
        <f>IF(Order_Details_PBI[[#This Row],[Profit Margine]]&lt;0," Loss",IF(Order_Details_PBI[[#This Row],[Profit Margine]]=0," Break-Even","Profit"))</f>
        <v>Profit</v>
      </c>
      <c r="I459" s="2">
        <v>43535</v>
      </c>
      <c r="J459" t="s">
        <v>618</v>
      </c>
      <c r="K459" t="str">
        <f>UPPER(List_of_Orders_PBI[[#This Row],[CustomerName]])</f>
        <v>ADITYA</v>
      </c>
      <c r="L459" t="s">
        <v>569</v>
      </c>
      <c r="M459" t="s">
        <v>570</v>
      </c>
      <c r="N459" t="str">
        <f>TEXT(List_of_Orders_PBI[[#This Row],[Order Date]],"DD-MMM-YYYY")</f>
        <v>11-Mar-2019</v>
      </c>
      <c r="O459" t="str">
        <f>_xlfn.CONCAT(List_of_Orders_PBI[[#This Row],[City]] &amp;" - "&amp; List_of_Orders_PBI[[#This Row],[State]])</f>
        <v>Chandigarh - Punjab</v>
      </c>
    </row>
    <row r="460" spans="1:15" x14ac:dyDescent="0.3">
      <c r="A460" t="s">
        <v>484</v>
      </c>
      <c r="B460">
        <v>20</v>
      </c>
      <c r="C460">
        <v>6</v>
      </c>
      <c r="D460">
        <v>1</v>
      </c>
      <c r="E460" t="s">
        <v>9</v>
      </c>
      <c r="F460" t="s">
        <v>22</v>
      </c>
      <c r="G460">
        <f>Order_Details_PBI[[#This Row],[Profit]]/Order_Details_PBI[[#This Row],[Amount]]</f>
        <v>0.3</v>
      </c>
      <c r="H460" t="str">
        <f>IF(Order_Details_PBI[[#This Row],[Profit Margine]]&lt;0," Loss",IF(Order_Details_PBI[[#This Row],[Profit Margine]]=0," Break-Even","Profit"))</f>
        <v>Profit</v>
      </c>
      <c r="I460" s="2">
        <v>43536</v>
      </c>
      <c r="J460" t="s">
        <v>619</v>
      </c>
      <c r="K460" t="str">
        <f>UPPER(List_of_Orders_PBI[[#This Row],[CustomerName]])</f>
        <v>RACHNA</v>
      </c>
      <c r="L460" t="s">
        <v>572</v>
      </c>
      <c r="M460" t="s">
        <v>570</v>
      </c>
      <c r="N460" t="str">
        <f>TEXT(List_of_Orders_PBI[[#This Row],[Order Date]],"DD-MMM-YYYY")</f>
        <v>12-Mar-2019</v>
      </c>
      <c r="O460" t="str">
        <f>_xlfn.CONCAT(List_of_Orders_PBI[[#This Row],[City]] &amp;" - "&amp; List_of_Orders_PBI[[#This Row],[State]])</f>
        <v>Chandigarh - Haryana</v>
      </c>
    </row>
    <row r="461" spans="1:15" x14ac:dyDescent="0.3">
      <c r="A461" t="s">
        <v>485</v>
      </c>
      <c r="B461">
        <v>382</v>
      </c>
      <c r="C461">
        <v>68</v>
      </c>
      <c r="D461">
        <v>3</v>
      </c>
      <c r="E461" t="s">
        <v>9</v>
      </c>
      <c r="F461" t="s">
        <v>16</v>
      </c>
      <c r="G461">
        <f>Order_Details_PBI[[#This Row],[Profit]]/Order_Details_PBI[[#This Row],[Amount]]</f>
        <v>0.17801047120418848</v>
      </c>
      <c r="H461" t="str">
        <f>IF(Order_Details_PBI[[#This Row],[Profit Margine]]&lt;0," Loss",IF(Order_Details_PBI[[#This Row],[Profit Margine]]=0," Break-Even","Profit"))</f>
        <v>Profit</v>
      </c>
      <c r="I461" s="2">
        <v>43537</v>
      </c>
      <c r="J461" t="s">
        <v>620</v>
      </c>
      <c r="K461" t="str">
        <f>UPPER(List_of_Orders_PBI[[#This Row],[CustomerName]])</f>
        <v>CHIRAG</v>
      </c>
      <c r="L461" t="s">
        <v>539</v>
      </c>
      <c r="M461" t="s">
        <v>595</v>
      </c>
      <c r="N461" t="str">
        <f>TEXT(List_of_Orders_PBI[[#This Row],[Order Date]],"DD-MMM-YYYY")</f>
        <v>13-Mar-2019</v>
      </c>
      <c r="O461" t="str">
        <f>_xlfn.CONCAT(List_of_Orders_PBI[[#This Row],[City]] &amp;" - "&amp; List_of_Orders_PBI[[#This Row],[State]])</f>
        <v>Mumbai - Maharashtra</v>
      </c>
    </row>
    <row r="462" spans="1:15" x14ac:dyDescent="0.3">
      <c r="A462" t="s">
        <v>486</v>
      </c>
      <c r="B462">
        <v>508</v>
      </c>
      <c r="C462">
        <v>203</v>
      </c>
      <c r="D462">
        <v>2</v>
      </c>
      <c r="E462" t="s">
        <v>12</v>
      </c>
      <c r="F462" t="s">
        <v>33</v>
      </c>
      <c r="G462">
        <f>Order_Details_PBI[[#This Row],[Profit]]/Order_Details_PBI[[#This Row],[Amount]]</f>
        <v>0.39960629921259844</v>
      </c>
      <c r="H462" t="str">
        <f>IF(Order_Details_PBI[[#This Row],[Profit Margine]]&lt;0," Loss",IF(Order_Details_PBI[[#This Row],[Profit Margine]]=0," Break-Even","Profit"))</f>
        <v>Profit</v>
      </c>
      <c r="I462" s="2">
        <v>43538</v>
      </c>
      <c r="J462" t="s">
        <v>621</v>
      </c>
      <c r="K462" t="str">
        <f>UPPER(List_of_Orders_PBI[[#This Row],[CustomerName]])</f>
        <v>ANURAG</v>
      </c>
      <c r="L462" t="s">
        <v>542</v>
      </c>
      <c r="M462" t="s">
        <v>597</v>
      </c>
      <c r="N462" t="str">
        <f>TEXT(List_of_Orders_PBI[[#This Row],[Order Date]],"DD-MMM-YYYY")</f>
        <v>14-Mar-2019</v>
      </c>
      <c r="O462" t="str">
        <f>_xlfn.CONCAT(List_of_Orders_PBI[[#This Row],[City]] &amp;" - "&amp; List_of_Orders_PBI[[#This Row],[State]])</f>
        <v>Indore - Madhya Pradesh</v>
      </c>
    </row>
    <row r="463" spans="1:15" x14ac:dyDescent="0.3">
      <c r="A463" t="s">
        <v>487</v>
      </c>
      <c r="B463">
        <v>44</v>
      </c>
      <c r="C463">
        <v>-40</v>
      </c>
      <c r="D463">
        <v>3</v>
      </c>
      <c r="E463" t="s">
        <v>9</v>
      </c>
      <c r="F463" t="s">
        <v>10</v>
      </c>
      <c r="G463">
        <f>Order_Details_PBI[[#This Row],[Profit]]/Order_Details_PBI[[#This Row],[Amount]]</f>
        <v>-0.90909090909090906</v>
      </c>
      <c r="H463" t="str">
        <f>IF(Order_Details_PBI[[#This Row],[Profit Margine]]&lt;0," Loss",IF(Order_Details_PBI[[#This Row],[Profit Margine]]=0," Break-Even","Profit"))</f>
        <v xml:space="preserve"> Loss</v>
      </c>
      <c r="I463" s="2">
        <v>43539</v>
      </c>
      <c r="J463" t="s">
        <v>622</v>
      </c>
      <c r="K463" t="str">
        <f>UPPER(List_of_Orders_PBI[[#This Row],[CustomerName]])</f>
        <v>TUSHINA</v>
      </c>
      <c r="L463" t="s">
        <v>580</v>
      </c>
      <c r="M463" t="s">
        <v>580</v>
      </c>
      <c r="N463" t="str">
        <f>TEXT(List_of_Orders_PBI[[#This Row],[Order Date]],"DD-MMM-YYYY")</f>
        <v>15-Mar-2019</v>
      </c>
      <c r="O463" t="str">
        <f>_xlfn.CONCAT(List_of_Orders_PBI[[#This Row],[City]] &amp;" - "&amp; List_of_Orders_PBI[[#This Row],[State]])</f>
        <v>Goa - Goa</v>
      </c>
    </row>
    <row r="464" spans="1:15" x14ac:dyDescent="0.3">
      <c r="A464" t="s">
        <v>488</v>
      </c>
      <c r="B464">
        <v>241</v>
      </c>
      <c r="C464">
        <v>-77</v>
      </c>
      <c r="D464">
        <v>4</v>
      </c>
      <c r="E464" t="s">
        <v>12</v>
      </c>
      <c r="F464" t="s">
        <v>13</v>
      </c>
      <c r="G464">
        <f>Order_Details_PBI[[#This Row],[Profit]]/Order_Details_PBI[[#This Row],[Amount]]</f>
        <v>-0.31950207468879666</v>
      </c>
      <c r="H464" t="str">
        <f>IF(Order_Details_PBI[[#This Row],[Profit Margine]]&lt;0," Loss",IF(Order_Details_PBI[[#This Row],[Profit Margine]]=0," Break-Even","Profit"))</f>
        <v xml:space="preserve"> Loss</v>
      </c>
      <c r="I464" s="2">
        <v>43539</v>
      </c>
      <c r="J464" t="s">
        <v>623</v>
      </c>
      <c r="K464" t="str">
        <f>UPPER(List_of_Orders_PBI[[#This Row],[CustomerName]])</f>
        <v>FARAH</v>
      </c>
      <c r="L464" t="s">
        <v>582</v>
      </c>
      <c r="M464" t="s">
        <v>583</v>
      </c>
      <c r="N464" t="str">
        <f>TEXT(List_of_Orders_PBI[[#This Row],[Order Date]],"DD-MMM-YYYY")</f>
        <v>15-Mar-2019</v>
      </c>
      <c r="O464" t="str">
        <f>_xlfn.CONCAT(List_of_Orders_PBI[[#This Row],[City]] &amp;" - "&amp; List_of_Orders_PBI[[#This Row],[State]])</f>
        <v>Kohima - Nagaland</v>
      </c>
    </row>
    <row r="465" spans="1:15" x14ac:dyDescent="0.3">
      <c r="A465" t="s">
        <v>489</v>
      </c>
      <c r="B465">
        <v>75</v>
      </c>
      <c r="C465">
        <v>2</v>
      </c>
      <c r="D465">
        <v>5</v>
      </c>
      <c r="E465" t="s">
        <v>9</v>
      </c>
      <c r="F465" t="s">
        <v>27</v>
      </c>
      <c r="G465">
        <f>Order_Details_PBI[[#This Row],[Profit]]/Order_Details_PBI[[#This Row],[Amount]]</f>
        <v>2.6666666666666668E-2</v>
      </c>
      <c r="H465" t="str">
        <f>IF(Order_Details_PBI[[#This Row],[Profit Margine]]&lt;0," Loss",IF(Order_Details_PBI[[#This Row],[Profit Margine]]=0," Break-Even","Profit"))</f>
        <v>Profit</v>
      </c>
      <c r="I465" s="2">
        <v>43540</v>
      </c>
      <c r="J465" t="s">
        <v>907</v>
      </c>
      <c r="K465" t="str">
        <f>UPPER(List_of_Orders_PBI[[#This Row],[CustomerName]])</f>
        <v>ANKITA</v>
      </c>
      <c r="L465" t="s">
        <v>539</v>
      </c>
      <c r="M465" t="s">
        <v>595</v>
      </c>
      <c r="N465" t="str">
        <f>TEXT(List_of_Orders_PBI[[#This Row],[Order Date]],"DD-MMM-YYYY")</f>
        <v>16-Mar-2019</v>
      </c>
      <c r="O465" t="str">
        <f>_xlfn.CONCAT(List_of_Orders_PBI[[#This Row],[City]] &amp;" - "&amp; List_of_Orders_PBI[[#This Row],[State]])</f>
        <v>Mumbai - Maharashtra</v>
      </c>
    </row>
    <row r="466" spans="1:15" x14ac:dyDescent="0.3">
      <c r="A466" t="s">
        <v>490</v>
      </c>
      <c r="B466">
        <v>146</v>
      </c>
      <c r="C466">
        <v>19</v>
      </c>
      <c r="D466">
        <v>5</v>
      </c>
      <c r="E466" t="s">
        <v>9</v>
      </c>
      <c r="F466" t="s">
        <v>10</v>
      </c>
      <c r="G466">
        <f>Order_Details_PBI[[#This Row],[Profit]]/Order_Details_PBI[[#This Row],[Amount]]</f>
        <v>0.13013698630136986</v>
      </c>
      <c r="H466" t="str">
        <f>IF(Order_Details_PBI[[#This Row],[Profit Margine]]&lt;0," Loss",IF(Order_Details_PBI[[#This Row],[Profit Margine]]=0," Break-Even","Profit"))</f>
        <v>Profit</v>
      </c>
      <c r="I466" s="2">
        <v>43540</v>
      </c>
      <c r="J466" t="s">
        <v>625</v>
      </c>
      <c r="K466" t="str">
        <f>UPPER(List_of_Orders_PBI[[#This Row],[CustomerName]])</f>
        <v>NIDA</v>
      </c>
      <c r="L466" t="s">
        <v>542</v>
      </c>
      <c r="M466" t="s">
        <v>597</v>
      </c>
      <c r="N466" t="str">
        <f>TEXT(List_of_Orders_PBI[[#This Row],[Order Date]],"DD-MMM-YYYY")</f>
        <v>16-Mar-2019</v>
      </c>
      <c r="O466" t="str">
        <f>_xlfn.CONCAT(List_of_Orders_PBI[[#This Row],[City]] &amp;" - "&amp; List_of_Orders_PBI[[#This Row],[State]])</f>
        <v>Indore - Madhya Pradesh</v>
      </c>
    </row>
    <row r="467" spans="1:15" x14ac:dyDescent="0.3">
      <c r="A467" t="s">
        <v>491</v>
      </c>
      <c r="B467">
        <v>86</v>
      </c>
      <c r="C467">
        <v>22</v>
      </c>
      <c r="D467">
        <v>2</v>
      </c>
      <c r="E467" t="s">
        <v>9</v>
      </c>
      <c r="F467" t="s">
        <v>16</v>
      </c>
      <c r="G467">
        <f>Order_Details_PBI[[#This Row],[Profit]]/Order_Details_PBI[[#This Row],[Amount]]</f>
        <v>0.2558139534883721</v>
      </c>
      <c r="H467" t="str">
        <f>IF(Order_Details_PBI[[#This Row],[Profit Margine]]&lt;0," Loss",IF(Order_Details_PBI[[#This Row],[Profit Margine]]=0," Break-Even","Profit"))</f>
        <v>Profit</v>
      </c>
      <c r="I467" s="2">
        <v>43540</v>
      </c>
      <c r="J467" t="s">
        <v>626</v>
      </c>
      <c r="K467" t="str">
        <f>UPPER(List_of_Orders_PBI[[#This Row],[CustomerName]])</f>
        <v>PRIYANKA</v>
      </c>
      <c r="L467" t="s">
        <v>539</v>
      </c>
      <c r="M467" t="s">
        <v>540</v>
      </c>
      <c r="N467" t="str">
        <f>TEXT(List_of_Orders_PBI[[#This Row],[Order Date]],"DD-MMM-YYYY")</f>
        <v>16-Mar-2019</v>
      </c>
      <c r="O467" t="str">
        <f>_xlfn.CONCAT(List_of_Orders_PBI[[#This Row],[City]] &amp;" - "&amp; List_of_Orders_PBI[[#This Row],[State]])</f>
        <v>Pune - Maharashtra</v>
      </c>
    </row>
    <row r="468" spans="1:15" x14ac:dyDescent="0.3">
      <c r="A468" t="s">
        <v>492</v>
      </c>
      <c r="B468">
        <v>618</v>
      </c>
      <c r="C468">
        <v>27</v>
      </c>
      <c r="D468">
        <v>4</v>
      </c>
      <c r="E468" t="s">
        <v>7</v>
      </c>
      <c r="F468" t="s">
        <v>8</v>
      </c>
      <c r="G468">
        <f>Order_Details_PBI[[#This Row],[Profit]]/Order_Details_PBI[[#This Row],[Amount]]</f>
        <v>4.3689320388349516E-2</v>
      </c>
      <c r="H468" t="str">
        <f>IF(Order_Details_PBI[[#This Row],[Profit Margine]]&lt;0," Loss",IF(Order_Details_PBI[[#This Row],[Profit Margine]]=0," Break-Even","Profit"))</f>
        <v>Profit</v>
      </c>
      <c r="I468" s="2">
        <v>43540</v>
      </c>
      <c r="J468" t="s">
        <v>627</v>
      </c>
      <c r="K468" t="str">
        <f>UPPER(List_of_Orders_PBI[[#This Row],[CustomerName]])</f>
        <v>TULIKA</v>
      </c>
      <c r="L468" t="s">
        <v>542</v>
      </c>
      <c r="M468" t="s">
        <v>543</v>
      </c>
      <c r="N468" t="str">
        <f>TEXT(List_of_Orders_PBI[[#This Row],[Order Date]],"DD-MMM-YYYY")</f>
        <v>16-Mar-2019</v>
      </c>
      <c r="O468" t="str">
        <f>_xlfn.CONCAT(List_of_Orders_PBI[[#This Row],[City]] &amp;" - "&amp; List_of_Orders_PBI[[#This Row],[State]])</f>
        <v>Bhopal - Madhya Pradesh</v>
      </c>
    </row>
    <row r="469" spans="1:15" x14ac:dyDescent="0.3">
      <c r="A469" t="s">
        <v>493</v>
      </c>
      <c r="B469">
        <v>193</v>
      </c>
      <c r="C469">
        <v>33</v>
      </c>
      <c r="D469">
        <v>5</v>
      </c>
      <c r="E469" t="s">
        <v>12</v>
      </c>
      <c r="F469" t="s">
        <v>33</v>
      </c>
      <c r="G469">
        <f>Order_Details_PBI[[#This Row],[Profit]]/Order_Details_PBI[[#This Row],[Amount]]</f>
        <v>0.17098445595854922</v>
      </c>
      <c r="H469" t="str">
        <f>IF(Order_Details_PBI[[#This Row],[Profit Margine]]&lt;0," Loss",IF(Order_Details_PBI[[#This Row],[Profit Margine]]=0," Break-Even","Profit"))</f>
        <v>Profit</v>
      </c>
      <c r="I469" s="2">
        <v>43540</v>
      </c>
      <c r="J469" t="s">
        <v>628</v>
      </c>
      <c r="K469" t="str">
        <f>UPPER(List_of_Orders_PBI[[#This Row],[CustomerName]])</f>
        <v>SHEFALI</v>
      </c>
      <c r="L469" t="s">
        <v>545</v>
      </c>
      <c r="M469" t="s">
        <v>546</v>
      </c>
      <c r="N469" t="str">
        <f>TEXT(List_of_Orders_PBI[[#This Row],[Order Date]],"DD-MMM-YYYY")</f>
        <v>16-Mar-2019</v>
      </c>
      <c r="O469" t="str">
        <f>_xlfn.CONCAT(List_of_Orders_PBI[[#This Row],[City]] &amp;" - "&amp; List_of_Orders_PBI[[#This Row],[State]])</f>
        <v>Jaipur - Rajasthan</v>
      </c>
    </row>
    <row r="470" spans="1:15" x14ac:dyDescent="0.3">
      <c r="A470" t="s">
        <v>494</v>
      </c>
      <c r="B470">
        <v>55</v>
      </c>
      <c r="C470">
        <v>18</v>
      </c>
      <c r="D470">
        <v>2</v>
      </c>
      <c r="E470" t="s">
        <v>9</v>
      </c>
      <c r="F470" t="s">
        <v>20</v>
      </c>
      <c r="G470">
        <f>Order_Details_PBI[[#This Row],[Profit]]/Order_Details_PBI[[#This Row],[Amount]]</f>
        <v>0.32727272727272727</v>
      </c>
      <c r="H470" t="str">
        <f>IF(Order_Details_PBI[[#This Row],[Profit Margine]]&lt;0," Loss",IF(Order_Details_PBI[[#This Row],[Profit Margine]]=0," Break-Even","Profit"))</f>
        <v>Profit</v>
      </c>
      <c r="I470" s="2">
        <v>43541</v>
      </c>
      <c r="J470" t="s">
        <v>629</v>
      </c>
      <c r="K470" t="str">
        <f>UPPER(List_of_Orders_PBI[[#This Row],[CustomerName]])</f>
        <v>SANSKRITI</v>
      </c>
      <c r="L470" t="s">
        <v>548</v>
      </c>
      <c r="M470" t="s">
        <v>549</v>
      </c>
      <c r="N470" t="str">
        <f>TEXT(List_of_Orders_PBI[[#This Row],[Order Date]],"DD-MMM-YYYY")</f>
        <v>17-Mar-2019</v>
      </c>
      <c r="O470" t="str">
        <f>_xlfn.CONCAT(List_of_Orders_PBI[[#This Row],[City]] &amp;" - "&amp; List_of_Orders_PBI[[#This Row],[State]])</f>
        <v>Kolkata - West Bengal</v>
      </c>
    </row>
    <row r="471" spans="1:15" x14ac:dyDescent="0.3">
      <c r="A471" t="s">
        <v>495</v>
      </c>
      <c r="B471">
        <v>54</v>
      </c>
      <c r="C471">
        <v>12</v>
      </c>
      <c r="D471">
        <v>4</v>
      </c>
      <c r="E471" t="s">
        <v>9</v>
      </c>
      <c r="F471" t="s">
        <v>25</v>
      </c>
      <c r="G471">
        <f>Order_Details_PBI[[#This Row],[Profit]]/Order_Details_PBI[[#This Row],[Amount]]</f>
        <v>0.22222222222222221</v>
      </c>
      <c r="H471" t="str">
        <f>IF(Order_Details_PBI[[#This Row],[Profit Margine]]&lt;0," Loss",IF(Order_Details_PBI[[#This Row],[Profit Margine]]=0," Break-Even","Profit"))</f>
        <v>Profit</v>
      </c>
      <c r="I471" s="2">
        <v>43542</v>
      </c>
      <c r="J471" t="s">
        <v>630</v>
      </c>
      <c r="K471" t="str">
        <f>UPPER(List_of_Orders_PBI[[#This Row],[CustomerName]])</f>
        <v>SHRUTI</v>
      </c>
      <c r="L471" t="s">
        <v>551</v>
      </c>
      <c r="M471" t="s">
        <v>552</v>
      </c>
      <c r="N471" t="str">
        <f>TEXT(List_of_Orders_PBI[[#This Row],[Order Date]],"DD-MMM-YYYY")</f>
        <v>18-Mar-2019</v>
      </c>
      <c r="O471" t="str">
        <f>_xlfn.CONCAT(List_of_Orders_PBI[[#This Row],[City]] &amp;" - "&amp; List_of_Orders_PBI[[#This Row],[State]])</f>
        <v>Bangalore - Karnataka</v>
      </c>
    </row>
    <row r="472" spans="1:15" x14ac:dyDescent="0.3">
      <c r="A472" t="s">
        <v>496</v>
      </c>
      <c r="B472">
        <v>21</v>
      </c>
      <c r="C472">
        <v>4</v>
      </c>
      <c r="D472">
        <v>3</v>
      </c>
      <c r="E472" t="s">
        <v>9</v>
      </c>
      <c r="F472" t="s">
        <v>11</v>
      </c>
      <c r="G472">
        <f>Order_Details_PBI[[#This Row],[Profit]]/Order_Details_PBI[[#This Row],[Amount]]</f>
        <v>0.19047619047619047</v>
      </c>
      <c r="H472" t="str">
        <f>IF(Order_Details_PBI[[#This Row],[Profit Margine]]&lt;0," Loss",IF(Order_Details_PBI[[#This Row],[Profit Margine]]=0," Break-Even","Profit"))</f>
        <v>Profit</v>
      </c>
      <c r="I472" s="2">
        <v>43543</v>
      </c>
      <c r="J472" t="s">
        <v>631</v>
      </c>
      <c r="K472" t="str">
        <f>UPPER(List_of_Orders_PBI[[#This Row],[CustomerName]])</f>
        <v>SUBHASHREE</v>
      </c>
      <c r="L472" t="s">
        <v>554</v>
      </c>
      <c r="M472" t="s">
        <v>555</v>
      </c>
      <c r="N472" t="str">
        <f>TEXT(List_of_Orders_PBI[[#This Row],[Order Date]],"DD-MMM-YYYY")</f>
        <v>19-Mar-2019</v>
      </c>
      <c r="O472" t="str">
        <f>_xlfn.CONCAT(List_of_Orders_PBI[[#This Row],[City]] &amp;" - "&amp; List_of_Orders_PBI[[#This Row],[State]])</f>
        <v>Kashmir - Jammu and Kashmir</v>
      </c>
    </row>
    <row r="473" spans="1:15" x14ac:dyDescent="0.3">
      <c r="A473" t="s">
        <v>497</v>
      </c>
      <c r="B473">
        <v>313</v>
      </c>
      <c r="C473">
        <v>44</v>
      </c>
      <c r="D473">
        <v>3</v>
      </c>
      <c r="E473" t="s">
        <v>12</v>
      </c>
      <c r="F473" t="s">
        <v>13</v>
      </c>
      <c r="G473">
        <f>Order_Details_PBI[[#This Row],[Profit]]/Order_Details_PBI[[#This Row],[Amount]]</f>
        <v>0.14057507987220447</v>
      </c>
      <c r="H473" t="str">
        <f>IF(Order_Details_PBI[[#This Row],[Profit Margine]]&lt;0," Loss",IF(Order_Details_PBI[[#This Row],[Profit Margine]]=0," Break-Even","Profit"))</f>
        <v>Profit</v>
      </c>
      <c r="I473" s="2">
        <v>43544</v>
      </c>
      <c r="J473" t="s">
        <v>632</v>
      </c>
      <c r="K473" t="str">
        <f>UPPER(List_of_Orders_PBI[[#This Row],[CustomerName]])</f>
        <v>SWETA</v>
      </c>
      <c r="L473" t="s">
        <v>539</v>
      </c>
      <c r="M473" t="s">
        <v>595</v>
      </c>
      <c r="N473" t="str">
        <f>TEXT(List_of_Orders_PBI[[#This Row],[Order Date]],"DD-MMM-YYYY")</f>
        <v>20-Mar-2019</v>
      </c>
      <c r="O473" t="str">
        <f>_xlfn.CONCAT(List_of_Orders_PBI[[#This Row],[City]] &amp;" - "&amp; List_of_Orders_PBI[[#This Row],[State]])</f>
        <v>Mumbai - Maharashtra</v>
      </c>
    </row>
    <row r="474" spans="1:15" x14ac:dyDescent="0.3">
      <c r="A474" t="s">
        <v>498</v>
      </c>
      <c r="B474">
        <v>37</v>
      </c>
      <c r="C474">
        <v>17</v>
      </c>
      <c r="D474">
        <v>3</v>
      </c>
      <c r="E474" t="s">
        <v>9</v>
      </c>
      <c r="F474" t="s">
        <v>11</v>
      </c>
      <c r="G474">
        <f>Order_Details_PBI[[#This Row],[Profit]]/Order_Details_PBI[[#This Row],[Amount]]</f>
        <v>0.45945945945945948</v>
      </c>
      <c r="H474" t="str">
        <f>IF(Order_Details_PBI[[#This Row],[Profit Margine]]&lt;0," Loss",IF(Order_Details_PBI[[#This Row],[Profit Margine]]=0," Break-Even","Profit"))</f>
        <v>Profit</v>
      </c>
      <c r="I474" s="2">
        <v>43545</v>
      </c>
      <c r="J474" t="s">
        <v>633</v>
      </c>
      <c r="K474" t="str">
        <f>UPPER(List_of_Orders_PBI[[#This Row],[CustomerName]])</f>
        <v>POURNAMASI</v>
      </c>
      <c r="L474" t="s">
        <v>542</v>
      </c>
      <c r="M474" t="s">
        <v>597</v>
      </c>
      <c r="N474" t="str">
        <f>TEXT(List_of_Orders_PBI[[#This Row],[Order Date]],"DD-MMM-YYYY")</f>
        <v>21-Mar-2019</v>
      </c>
      <c r="O474" t="str">
        <f>_xlfn.CONCAT(List_of_Orders_PBI[[#This Row],[City]] &amp;" - "&amp; List_of_Orders_PBI[[#This Row],[State]])</f>
        <v>Indore - Madhya Pradesh</v>
      </c>
    </row>
    <row r="475" spans="1:15" x14ac:dyDescent="0.3">
      <c r="A475" t="s">
        <v>499</v>
      </c>
      <c r="B475">
        <v>57</v>
      </c>
      <c r="C475">
        <v>21</v>
      </c>
      <c r="D475">
        <v>4</v>
      </c>
      <c r="E475" t="s">
        <v>9</v>
      </c>
      <c r="F475" t="s">
        <v>27</v>
      </c>
      <c r="G475">
        <f>Order_Details_PBI[[#This Row],[Profit]]/Order_Details_PBI[[#This Row],[Amount]]</f>
        <v>0.36842105263157893</v>
      </c>
      <c r="H475" t="str">
        <f>IF(Order_Details_PBI[[#This Row],[Profit Margine]]&lt;0," Loss",IF(Order_Details_PBI[[#This Row],[Profit Margine]]=0," Break-Even","Profit"))</f>
        <v>Profit</v>
      </c>
      <c r="I475" s="2">
        <v>43545</v>
      </c>
      <c r="J475" t="s">
        <v>535</v>
      </c>
      <c r="K475" t="str">
        <f>UPPER(List_of_Orders_PBI[[#This Row],[CustomerName]])</f>
        <v>BHARAT</v>
      </c>
      <c r="L475" t="s">
        <v>536</v>
      </c>
      <c r="M475" t="s">
        <v>537</v>
      </c>
      <c r="N475" t="str">
        <f>TEXT(List_of_Orders_PBI[[#This Row],[Order Date]],"DD-MMM-YYYY")</f>
        <v>21-Mar-2019</v>
      </c>
      <c r="O475" t="str">
        <f>_xlfn.CONCAT(List_of_Orders_PBI[[#This Row],[City]] &amp;" - "&amp; List_of_Orders_PBI[[#This Row],[State]])</f>
        <v>Ahmedabad - Gujarat</v>
      </c>
    </row>
    <row r="476" spans="1:15" x14ac:dyDescent="0.3">
      <c r="A476" t="s">
        <v>500</v>
      </c>
      <c r="B476">
        <v>34</v>
      </c>
      <c r="C476">
        <v>12</v>
      </c>
      <c r="D476">
        <v>2</v>
      </c>
      <c r="E476" t="s">
        <v>9</v>
      </c>
      <c r="F476" t="s">
        <v>10</v>
      </c>
      <c r="G476">
        <f>Order_Details_PBI[[#This Row],[Profit]]/Order_Details_PBI[[#This Row],[Amount]]</f>
        <v>0.35294117647058826</v>
      </c>
      <c r="H476" t="str">
        <f>IF(Order_Details_PBI[[#This Row],[Profit Margine]]&lt;0," Loss",IF(Order_Details_PBI[[#This Row],[Profit Margine]]=0," Break-Even","Profit"))</f>
        <v>Profit</v>
      </c>
      <c r="I476" s="2">
        <v>43545</v>
      </c>
      <c r="J476" t="s">
        <v>538</v>
      </c>
      <c r="K476" t="str">
        <f>UPPER(List_of_Orders_PBI[[#This Row],[CustomerName]])</f>
        <v>PEARL</v>
      </c>
      <c r="L476" t="s">
        <v>539</v>
      </c>
      <c r="M476" t="s">
        <v>540</v>
      </c>
      <c r="N476" t="str">
        <f>TEXT(List_of_Orders_PBI[[#This Row],[Order Date]],"DD-MMM-YYYY")</f>
        <v>21-Mar-2019</v>
      </c>
      <c r="O476" t="str">
        <f>_xlfn.CONCAT(List_of_Orders_PBI[[#This Row],[City]] &amp;" - "&amp; List_of_Orders_PBI[[#This Row],[State]])</f>
        <v>Pune - Maharashtra</v>
      </c>
    </row>
    <row r="477" spans="1:15" x14ac:dyDescent="0.3">
      <c r="A477" t="s">
        <v>501</v>
      </c>
      <c r="B477">
        <v>91</v>
      </c>
      <c r="C477">
        <v>22</v>
      </c>
      <c r="D477">
        <v>2</v>
      </c>
      <c r="E477" t="s">
        <v>9</v>
      </c>
      <c r="F477" t="s">
        <v>10</v>
      </c>
      <c r="G477">
        <f>Order_Details_PBI[[#This Row],[Profit]]/Order_Details_PBI[[#This Row],[Amount]]</f>
        <v>0.24175824175824176</v>
      </c>
      <c r="H477" t="str">
        <f>IF(Order_Details_PBI[[#This Row],[Profit Margine]]&lt;0," Loss",IF(Order_Details_PBI[[#This Row],[Profit Margine]]=0," Break-Even","Profit"))</f>
        <v>Profit</v>
      </c>
      <c r="I477" s="2">
        <v>43545</v>
      </c>
      <c r="J477" t="s">
        <v>541</v>
      </c>
      <c r="K477" t="str">
        <f>UPPER(List_of_Orders_PBI[[#This Row],[CustomerName]])</f>
        <v>JAHAN</v>
      </c>
      <c r="L477" t="s">
        <v>542</v>
      </c>
      <c r="M477" t="s">
        <v>543</v>
      </c>
      <c r="N477" t="str">
        <f>TEXT(List_of_Orders_PBI[[#This Row],[Order Date]],"DD-MMM-YYYY")</f>
        <v>21-Mar-2019</v>
      </c>
      <c r="O477" t="str">
        <f>_xlfn.CONCAT(List_of_Orders_PBI[[#This Row],[City]] &amp;" - "&amp; List_of_Orders_PBI[[#This Row],[State]])</f>
        <v>Bhopal - Madhya Pradesh</v>
      </c>
    </row>
    <row r="478" spans="1:15" x14ac:dyDescent="0.3">
      <c r="A478" t="s">
        <v>502</v>
      </c>
      <c r="B478">
        <v>62</v>
      </c>
      <c r="C478">
        <v>11</v>
      </c>
      <c r="D478">
        <v>7</v>
      </c>
      <c r="E478" t="s">
        <v>9</v>
      </c>
      <c r="F478" t="s">
        <v>11</v>
      </c>
      <c r="G478">
        <f>Order_Details_PBI[[#This Row],[Profit]]/Order_Details_PBI[[#This Row],[Amount]]</f>
        <v>0.17741935483870969</v>
      </c>
      <c r="H478" t="str">
        <f>IF(Order_Details_PBI[[#This Row],[Profit Margine]]&lt;0," Loss",IF(Order_Details_PBI[[#This Row],[Profit Margine]]=0," Break-Even","Profit"))</f>
        <v>Profit</v>
      </c>
      <c r="I478" s="2">
        <v>43546</v>
      </c>
      <c r="J478" t="s">
        <v>544</v>
      </c>
      <c r="K478" t="str">
        <f>UPPER(List_of_Orders_PBI[[#This Row],[CustomerName]])</f>
        <v>DIVSHA</v>
      </c>
      <c r="L478" t="s">
        <v>545</v>
      </c>
      <c r="M478" t="s">
        <v>546</v>
      </c>
      <c r="N478" t="str">
        <f>TEXT(List_of_Orders_PBI[[#This Row],[Order Date]],"DD-MMM-YYYY")</f>
        <v>22-Mar-2019</v>
      </c>
      <c r="O478" t="str">
        <f>_xlfn.CONCAT(List_of_Orders_PBI[[#This Row],[City]] &amp;" - "&amp; List_of_Orders_PBI[[#This Row],[State]])</f>
        <v>Jaipur - Rajasthan</v>
      </c>
    </row>
    <row r="479" spans="1:15" x14ac:dyDescent="0.3">
      <c r="A479" t="s">
        <v>503</v>
      </c>
      <c r="B479">
        <v>17</v>
      </c>
      <c r="C479">
        <v>8</v>
      </c>
      <c r="D479">
        <v>2</v>
      </c>
      <c r="E479" t="s">
        <v>9</v>
      </c>
      <c r="F479" t="s">
        <v>53</v>
      </c>
      <c r="G479">
        <f>Order_Details_PBI[[#This Row],[Profit]]/Order_Details_PBI[[#This Row],[Amount]]</f>
        <v>0.47058823529411764</v>
      </c>
      <c r="H479" t="str">
        <f>IF(Order_Details_PBI[[#This Row],[Profit Margine]]&lt;0," Loss",IF(Order_Details_PBI[[#This Row],[Profit Margine]]=0," Break-Even","Profit"))</f>
        <v>Profit</v>
      </c>
      <c r="I479" s="2">
        <v>43546</v>
      </c>
      <c r="J479" t="s">
        <v>547</v>
      </c>
      <c r="K479" t="str">
        <f>UPPER(List_of_Orders_PBI[[#This Row],[CustomerName]])</f>
        <v>KASHEEN</v>
      </c>
      <c r="L479" t="s">
        <v>548</v>
      </c>
      <c r="M479" t="s">
        <v>549</v>
      </c>
      <c r="N479" t="str">
        <f>TEXT(List_of_Orders_PBI[[#This Row],[Order Date]],"DD-MMM-YYYY")</f>
        <v>22-Mar-2019</v>
      </c>
      <c r="O479" t="str">
        <f>_xlfn.CONCAT(List_of_Orders_PBI[[#This Row],[City]] &amp;" - "&amp; List_of_Orders_PBI[[#This Row],[State]])</f>
        <v>Kolkata - West Bengal</v>
      </c>
    </row>
    <row r="480" spans="1:15" x14ac:dyDescent="0.3">
      <c r="A480" t="s">
        <v>504</v>
      </c>
      <c r="B480">
        <v>18</v>
      </c>
      <c r="C480">
        <v>3</v>
      </c>
      <c r="D480">
        <v>2</v>
      </c>
      <c r="E480" t="s">
        <v>9</v>
      </c>
      <c r="F480" t="s">
        <v>11</v>
      </c>
      <c r="G480">
        <f>Order_Details_PBI[[#This Row],[Profit]]/Order_Details_PBI[[#This Row],[Amount]]</f>
        <v>0.16666666666666666</v>
      </c>
      <c r="H480" t="str">
        <f>IF(Order_Details_PBI[[#This Row],[Profit Margine]]&lt;0," Loss",IF(Order_Details_PBI[[#This Row],[Profit Margine]]=0," Break-Even","Profit"))</f>
        <v>Profit</v>
      </c>
      <c r="I480" s="2">
        <v>43546</v>
      </c>
      <c r="J480" t="s">
        <v>550</v>
      </c>
      <c r="K480" t="str">
        <f>UPPER(List_of_Orders_PBI[[#This Row],[CustomerName]])</f>
        <v>HAZEL</v>
      </c>
      <c r="L480" t="s">
        <v>551</v>
      </c>
      <c r="M480" t="s">
        <v>552</v>
      </c>
      <c r="N480" t="str">
        <f>TEXT(List_of_Orders_PBI[[#This Row],[Order Date]],"DD-MMM-YYYY")</f>
        <v>22-Mar-2019</v>
      </c>
      <c r="O480" t="str">
        <f>_xlfn.CONCAT(List_of_Orders_PBI[[#This Row],[City]] &amp;" - "&amp; List_of_Orders_PBI[[#This Row],[State]])</f>
        <v>Bangalore - Karnataka</v>
      </c>
    </row>
    <row r="481" spans="1:15" x14ac:dyDescent="0.3">
      <c r="A481" t="s">
        <v>505</v>
      </c>
      <c r="B481">
        <v>109</v>
      </c>
      <c r="C481">
        <v>35</v>
      </c>
      <c r="D481">
        <v>6</v>
      </c>
      <c r="E481" t="s">
        <v>9</v>
      </c>
      <c r="F481" t="s">
        <v>22</v>
      </c>
      <c r="G481">
        <f>Order_Details_PBI[[#This Row],[Profit]]/Order_Details_PBI[[#This Row],[Amount]]</f>
        <v>0.32110091743119268</v>
      </c>
      <c r="H481" t="str">
        <f>IF(Order_Details_PBI[[#This Row],[Profit Margine]]&lt;0," Loss",IF(Order_Details_PBI[[#This Row],[Profit Margine]]=0," Break-Even","Profit"))</f>
        <v>Profit</v>
      </c>
      <c r="I481" s="2">
        <v>43546</v>
      </c>
      <c r="J481" t="s">
        <v>553</v>
      </c>
      <c r="K481" t="str">
        <f>UPPER(List_of_Orders_PBI[[#This Row],[CustomerName]])</f>
        <v>SONAKSHI</v>
      </c>
      <c r="L481" t="s">
        <v>554</v>
      </c>
      <c r="M481" t="s">
        <v>555</v>
      </c>
      <c r="N481" t="str">
        <f>TEXT(List_of_Orders_PBI[[#This Row],[Order Date]],"DD-MMM-YYYY")</f>
        <v>22-Mar-2019</v>
      </c>
      <c r="O481" t="str">
        <f>_xlfn.CONCAT(List_of_Orders_PBI[[#This Row],[City]] &amp;" - "&amp; List_of_Orders_PBI[[#This Row],[State]])</f>
        <v>Kashmir - Jammu and Kashmir</v>
      </c>
    </row>
    <row r="482" spans="1:15" x14ac:dyDescent="0.3">
      <c r="A482" t="s">
        <v>506</v>
      </c>
      <c r="B482">
        <v>359</v>
      </c>
      <c r="C482">
        <v>-338</v>
      </c>
      <c r="D482">
        <v>5</v>
      </c>
      <c r="E482" t="s">
        <v>7</v>
      </c>
      <c r="F482" t="s">
        <v>8</v>
      </c>
      <c r="G482">
        <f>Order_Details_PBI[[#This Row],[Profit]]/Order_Details_PBI[[#This Row],[Amount]]</f>
        <v>-0.9415041782729805</v>
      </c>
      <c r="H482" t="str">
        <f>IF(Order_Details_PBI[[#This Row],[Profit Margine]]&lt;0," Loss",IF(Order_Details_PBI[[#This Row],[Profit Margine]]=0," Break-Even","Profit"))</f>
        <v xml:space="preserve"> Loss</v>
      </c>
      <c r="I482" s="2">
        <v>43546</v>
      </c>
      <c r="J482" t="s">
        <v>556</v>
      </c>
      <c r="K482" t="str">
        <f>UPPER(List_of_Orders_PBI[[#This Row],[CustomerName]])</f>
        <v>AARUSHI</v>
      </c>
      <c r="L482" t="s">
        <v>557</v>
      </c>
      <c r="M482" t="s">
        <v>558</v>
      </c>
      <c r="N482" t="str">
        <f>TEXT(List_of_Orders_PBI[[#This Row],[Order Date]],"DD-MMM-YYYY")</f>
        <v>22-Mar-2019</v>
      </c>
      <c r="O482" t="str">
        <f>_xlfn.CONCAT(List_of_Orders_PBI[[#This Row],[City]] &amp;" - "&amp; List_of_Orders_PBI[[#This Row],[State]])</f>
        <v>Chennai - Tamil Nadu</v>
      </c>
    </row>
    <row r="483" spans="1:15" x14ac:dyDescent="0.3">
      <c r="A483" t="s">
        <v>507</v>
      </c>
      <c r="B483">
        <v>95</v>
      </c>
      <c r="C483">
        <v>5</v>
      </c>
      <c r="D483">
        <v>2</v>
      </c>
      <c r="E483" t="s">
        <v>9</v>
      </c>
      <c r="F483" t="s">
        <v>10</v>
      </c>
      <c r="G483">
        <f>Order_Details_PBI[[#This Row],[Profit]]/Order_Details_PBI[[#This Row],[Amount]]</f>
        <v>5.2631578947368418E-2</v>
      </c>
      <c r="H483" t="str">
        <f>IF(Order_Details_PBI[[#This Row],[Profit Margine]]&lt;0," Loss",IF(Order_Details_PBI[[#This Row],[Profit Margine]]=0," Break-Even","Profit"))</f>
        <v>Profit</v>
      </c>
      <c r="I483" s="2">
        <v>43547</v>
      </c>
      <c r="J483" t="s">
        <v>559</v>
      </c>
      <c r="K483" t="str">
        <f>UPPER(List_of_Orders_PBI[[#This Row],[CustomerName]])</f>
        <v>JITESH</v>
      </c>
      <c r="L483" t="s">
        <v>560</v>
      </c>
      <c r="M483" t="s">
        <v>561</v>
      </c>
      <c r="N483" t="str">
        <f>TEXT(List_of_Orders_PBI[[#This Row],[Order Date]],"DD-MMM-YYYY")</f>
        <v>23-Mar-2019</v>
      </c>
      <c r="O483" t="str">
        <f>_xlfn.CONCAT(List_of_Orders_PBI[[#This Row],[City]] &amp;" - "&amp; List_of_Orders_PBI[[#This Row],[State]])</f>
        <v>Lucknow - Uttar Pradesh</v>
      </c>
    </row>
    <row r="484" spans="1:15" x14ac:dyDescent="0.3">
      <c r="A484" t="s">
        <v>508</v>
      </c>
      <c r="B484">
        <v>43</v>
      </c>
      <c r="C484">
        <v>8</v>
      </c>
      <c r="D484">
        <v>3</v>
      </c>
      <c r="E484" t="s">
        <v>9</v>
      </c>
      <c r="F484" t="s">
        <v>27</v>
      </c>
      <c r="G484">
        <f>Order_Details_PBI[[#This Row],[Profit]]/Order_Details_PBI[[#This Row],[Amount]]</f>
        <v>0.18604651162790697</v>
      </c>
      <c r="H484" t="str">
        <f>IF(Order_Details_PBI[[#This Row],[Profit Margine]]&lt;0," Loss",IF(Order_Details_PBI[[#This Row],[Profit Margine]]=0," Break-Even","Profit"))</f>
        <v>Profit</v>
      </c>
      <c r="I484" s="2">
        <v>43548</v>
      </c>
      <c r="J484" t="s">
        <v>562</v>
      </c>
      <c r="K484" t="str">
        <f>UPPER(List_of_Orders_PBI[[#This Row],[CustomerName]])</f>
        <v>YOGESH</v>
      </c>
      <c r="L484" t="s">
        <v>563</v>
      </c>
      <c r="M484" t="s">
        <v>564</v>
      </c>
      <c r="N484" t="str">
        <f>TEXT(List_of_Orders_PBI[[#This Row],[Order Date]],"DD-MMM-YYYY")</f>
        <v>24-Mar-2019</v>
      </c>
      <c r="O484" t="str">
        <f>_xlfn.CONCAT(List_of_Orders_PBI[[#This Row],[City]] &amp;" - "&amp; List_of_Orders_PBI[[#This Row],[State]])</f>
        <v>Patna - Bihar</v>
      </c>
    </row>
    <row r="485" spans="1:15" x14ac:dyDescent="0.3">
      <c r="A485" t="s">
        <v>509</v>
      </c>
      <c r="B485">
        <v>209</v>
      </c>
      <c r="C485">
        <v>-63</v>
      </c>
      <c r="D485">
        <v>4</v>
      </c>
      <c r="E485" t="s">
        <v>12</v>
      </c>
      <c r="F485" t="s">
        <v>13</v>
      </c>
      <c r="G485">
        <f>Order_Details_PBI[[#This Row],[Profit]]/Order_Details_PBI[[#This Row],[Amount]]</f>
        <v>-0.30143540669856461</v>
      </c>
      <c r="H485" t="str">
        <f>IF(Order_Details_PBI[[#This Row],[Profit Margine]]&lt;0," Loss",IF(Order_Details_PBI[[#This Row],[Profit Margine]]=0," Break-Even","Profit"))</f>
        <v xml:space="preserve"> Loss</v>
      </c>
      <c r="I485" s="2">
        <v>43549</v>
      </c>
      <c r="J485" t="s">
        <v>565</v>
      </c>
      <c r="K485" t="str">
        <f>UPPER(List_of_Orders_PBI[[#This Row],[CustomerName]])</f>
        <v>ANITA</v>
      </c>
      <c r="L485" t="s">
        <v>566</v>
      </c>
      <c r="M485" t="s">
        <v>567</v>
      </c>
      <c r="N485" t="str">
        <f>TEXT(List_of_Orders_PBI[[#This Row],[Order Date]],"DD-MMM-YYYY")</f>
        <v>25-Mar-2019</v>
      </c>
      <c r="O485" t="str">
        <f>_xlfn.CONCAT(List_of_Orders_PBI[[#This Row],[City]] &amp;" - "&amp; List_of_Orders_PBI[[#This Row],[State]])</f>
        <v xml:space="preserve">Thiruvananthapuram - Kerala </v>
      </c>
    </row>
    <row r="486" spans="1:15" x14ac:dyDescent="0.3">
      <c r="A486" t="s">
        <v>510</v>
      </c>
      <c r="B486">
        <v>86</v>
      </c>
      <c r="C486">
        <v>22</v>
      </c>
      <c r="D486">
        <v>2</v>
      </c>
      <c r="E486" t="s">
        <v>9</v>
      </c>
      <c r="F486" t="s">
        <v>16</v>
      </c>
      <c r="G486">
        <f>Order_Details_PBI[[#This Row],[Profit]]/Order_Details_PBI[[#This Row],[Amount]]</f>
        <v>0.2558139534883721</v>
      </c>
      <c r="H486" t="str">
        <f>IF(Order_Details_PBI[[#This Row],[Profit Margine]]&lt;0," Loss",IF(Order_Details_PBI[[#This Row],[Profit Margine]]=0," Break-Even","Profit"))</f>
        <v>Profit</v>
      </c>
      <c r="I486" s="2">
        <v>43550</v>
      </c>
      <c r="J486" t="s">
        <v>568</v>
      </c>
      <c r="K486" t="str">
        <f>UPPER(List_of_Orders_PBI[[#This Row],[CustomerName]])</f>
        <v>SHRICHAND</v>
      </c>
      <c r="L486" t="s">
        <v>569</v>
      </c>
      <c r="M486" t="s">
        <v>570</v>
      </c>
      <c r="N486" t="str">
        <f>TEXT(List_of_Orders_PBI[[#This Row],[Order Date]],"DD-MMM-YYYY")</f>
        <v>26-Mar-2019</v>
      </c>
      <c r="O486" t="str">
        <f>_xlfn.CONCAT(List_of_Orders_PBI[[#This Row],[City]] &amp;" - "&amp; List_of_Orders_PBI[[#This Row],[State]])</f>
        <v>Chandigarh - Punjab</v>
      </c>
    </row>
    <row r="487" spans="1:15" x14ac:dyDescent="0.3">
      <c r="A487" t="s">
        <v>511</v>
      </c>
      <c r="B487">
        <v>43</v>
      </c>
      <c r="C487">
        <v>17</v>
      </c>
      <c r="D487">
        <v>2</v>
      </c>
      <c r="E487" t="s">
        <v>9</v>
      </c>
      <c r="F487" t="s">
        <v>22</v>
      </c>
      <c r="G487">
        <f>Order_Details_PBI[[#This Row],[Profit]]/Order_Details_PBI[[#This Row],[Amount]]</f>
        <v>0.39534883720930231</v>
      </c>
      <c r="H487" t="str">
        <f>IF(Order_Details_PBI[[#This Row],[Profit Margine]]&lt;0," Loss",IF(Order_Details_PBI[[#This Row],[Profit Margine]]=0," Break-Even","Profit"))</f>
        <v>Profit</v>
      </c>
      <c r="I487" s="2">
        <v>43550</v>
      </c>
      <c r="J487" t="s">
        <v>571</v>
      </c>
      <c r="K487" t="str">
        <f>UPPER(List_of_Orders_PBI[[#This Row],[CustomerName]])</f>
        <v>MUKESH</v>
      </c>
      <c r="L487" t="s">
        <v>572</v>
      </c>
      <c r="M487" t="s">
        <v>570</v>
      </c>
      <c r="N487" t="str">
        <f>TEXT(List_of_Orders_PBI[[#This Row],[Order Date]],"DD-MMM-YYYY")</f>
        <v>26-Mar-2019</v>
      </c>
      <c r="O487" t="str">
        <f>_xlfn.CONCAT(List_of_Orders_PBI[[#This Row],[City]] &amp;" - "&amp; List_of_Orders_PBI[[#This Row],[State]])</f>
        <v>Chandigarh - Haryana</v>
      </c>
    </row>
    <row r="488" spans="1:15" x14ac:dyDescent="0.3">
      <c r="A488" t="s">
        <v>512</v>
      </c>
      <c r="B488">
        <v>119</v>
      </c>
      <c r="C488">
        <v>56</v>
      </c>
      <c r="D488">
        <v>7</v>
      </c>
      <c r="E488" t="s">
        <v>9</v>
      </c>
      <c r="F488" t="s">
        <v>16</v>
      </c>
      <c r="G488">
        <f>Order_Details_PBI[[#This Row],[Profit]]/Order_Details_PBI[[#This Row],[Amount]]</f>
        <v>0.47058823529411764</v>
      </c>
      <c r="H488" t="str">
        <f>IF(Order_Details_PBI[[#This Row],[Profit Margine]]&lt;0," Loss",IF(Order_Details_PBI[[#This Row],[Profit Margine]]=0," Break-Even","Profit"))</f>
        <v>Profit</v>
      </c>
      <c r="I488" s="2">
        <v>43550</v>
      </c>
      <c r="J488" t="s">
        <v>573</v>
      </c>
      <c r="K488" t="str">
        <f>UPPER(List_of_Orders_PBI[[#This Row],[CustomerName]])</f>
        <v>VANDANA</v>
      </c>
      <c r="L488" t="s">
        <v>574</v>
      </c>
      <c r="M488" t="s">
        <v>575</v>
      </c>
      <c r="N488" t="str">
        <f>TEXT(List_of_Orders_PBI[[#This Row],[Order Date]],"DD-MMM-YYYY")</f>
        <v>26-Mar-2019</v>
      </c>
      <c r="O488" t="str">
        <f>_xlfn.CONCAT(List_of_Orders_PBI[[#This Row],[City]] &amp;" - "&amp; List_of_Orders_PBI[[#This Row],[State]])</f>
        <v>Simla - Himachal Pradesh</v>
      </c>
    </row>
    <row r="489" spans="1:15" x14ac:dyDescent="0.3">
      <c r="A489" t="s">
        <v>513</v>
      </c>
      <c r="B489">
        <v>11</v>
      </c>
      <c r="C489">
        <v>5</v>
      </c>
      <c r="D489">
        <v>2</v>
      </c>
      <c r="E489" t="s">
        <v>9</v>
      </c>
      <c r="F489" t="s">
        <v>11</v>
      </c>
      <c r="G489">
        <f>Order_Details_PBI[[#This Row],[Profit]]/Order_Details_PBI[[#This Row],[Amount]]</f>
        <v>0.45454545454545453</v>
      </c>
      <c r="H489" t="str">
        <f>IF(Order_Details_PBI[[#This Row],[Profit Margine]]&lt;0," Loss",IF(Order_Details_PBI[[#This Row],[Profit Margine]]=0," Break-Even","Profit"))</f>
        <v>Profit</v>
      </c>
      <c r="I489" s="2">
        <v>43550</v>
      </c>
      <c r="J489" t="s">
        <v>576</v>
      </c>
      <c r="K489" t="str">
        <f>UPPER(List_of_Orders_PBI[[#This Row],[CustomerName]])</f>
        <v>BHAVNA</v>
      </c>
      <c r="L489" t="s">
        <v>577</v>
      </c>
      <c r="M489" t="s">
        <v>578</v>
      </c>
      <c r="N489" t="str">
        <f>TEXT(List_of_Orders_PBI[[#This Row],[Order Date]],"DD-MMM-YYYY")</f>
        <v>26-Mar-2019</v>
      </c>
      <c r="O489" t="str">
        <f>_xlfn.CONCAT(List_of_Orders_PBI[[#This Row],[City]] &amp;" - "&amp; List_of_Orders_PBI[[#This Row],[State]])</f>
        <v>Gangtok - Sikkim</v>
      </c>
    </row>
    <row r="490" spans="1:15" x14ac:dyDescent="0.3">
      <c r="A490" t="s">
        <v>514</v>
      </c>
      <c r="B490">
        <v>59</v>
      </c>
      <c r="C490">
        <v>24</v>
      </c>
      <c r="D490">
        <v>6</v>
      </c>
      <c r="E490" t="s">
        <v>9</v>
      </c>
      <c r="F490" t="s">
        <v>20</v>
      </c>
      <c r="G490">
        <f>Order_Details_PBI[[#This Row],[Profit]]/Order_Details_PBI[[#This Row],[Amount]]</f>
        <v>0.40677966101694918</v>
      </c>
      <c r="H490" t="str">
        <f>IF(Order_Details_PBI[[#This Row],[Profit Margine]]&lt;0," Loss",IF(Order_Details_PBI[[#This Row],[Profit Margine]]=0," Break-Even","Profit"))</f>
        <v>Profit</v>
      </c>
      <c r="I490" s="2">
        <v>43550</v>
      </c>
      <c r="J490" t="s">
        <v>579</v>
      </c>
      <c r="K490" t="str">
        <f>UPPER(List_of_Orders_PBI[[#This Row],[CustomerName]])</f>
        <v>KANAK</v>
      </c>
      <c r="L490" t="s">
        <v>580</v>
      </c>
      <c r="M490" t="s">
        <v>580</v>
      </c>
      <c r="N490" t="str">
        <f>TEXT(List_of_Orders_PBI[[#This Row],[Order Date]],"DD-MMM-YYYY")</f>
        <v>26-Mar-2019</v>
      </c>
      <c r="O490" t="str">
        <f>_xlfn.CONCAT(List_of_Orders_PBI[[#This Row],[City]] &amp;" - "&amp; List_of_Orders_PBI[[#This Row],[State]])</f>
        <v>Goa - Goa</v>
      </c>
    </row>
    <row r="491" spans="1:15" x14ac:dyDescent="0.3">
      <c r="A491" t="s">
        <v>515</v>
      </c>
      <c r="B491">
        <v>80</v>
      </c>
      <c r="C491">
        <v>22</v>
      </c>
      <c r="D491">
        <v>3</v>
      </c>
      <c r="E491" t="s">
        <v>9</v>
      </c>
      <c r="F491" t="s">
        <v>10</v>
      </c>
      <c r="G491">
        <f>Order_Details_PBI[[#This Row],[Profit]]/Order_Details_PBI[[#This Row],[Amount]]</f>
        <v>0.27500000000000002</v>
      </c>
      <c r="H491" t="str">
        <f>IF(Order_Details_PBI[[#This Row],[Profit Margine]]&lt;0," Loss",IF(Order_Details_PBI[[#This Row],[Profit Margine]]=0," Break-Even","Profit"))</f>
        <v>Profit</v>
      </c>
      <c r="I491" s="2">
        <v>43551</v>
      </c>
      <c r="J491" t="s">
        <v>581</v>
      </c>
      <c r="K491" t="str">
        <f>UPPER(List_of_Orders_PBI[[#This Row],[CustomerName]])</f>
        <v>SAGAR</v>
      </c>
      <c r="L491" t="s">
        <v>582</v>
      </c>
      <c r="M491" t="s">
        <v>583</v>
      </c>
      <c r="N491" t="str">
        <f>TEXT(List_of_Orders_PBI[[#This Row],[Order Date]],"DD-MMM-YYYY")</f>
        <v>27-Mar-2019</v>
      </c>
      <c r="O491" t="str">
        <f>_xlfn.CONCAT(List_of_Orders_PBI[[#This Row],[City]] &amp;" - "&amp; List_of_Orders_PBI[[#This Row],[State]])</f>
        <v>Kohima - Nagaland</v>
      </c>
    </row>
    <row r="492" spans="1:15" x14ac:dyDescent="0.3">
      <c r="A492" t="s">
        <v>516</v>
      </c>
      <c r="B492">
        <v>158</v>
      </c>
      <c r="C492">
        <v>69</v>
      </c>
      <c r="D492">
        <v>3</v>
      </c>
      <c r="E492" t="s">
        <v>9</v>
      </c>
      <c r="F492" t="s">
        <v>10</v>
      </c>
      <c r="G492">
        <f>Order_Details_PBI[[#This Row],[Profit]]/Order_Details_PBI[[#This Row],[Amount]]</f>
        <v>0.43670886075949367</v>
      </c>
      <c r="H492" t="str">
        <f>IF(Order_Details_PBI[[#This Row],[Profit Margine]]&lt;0," Loss",IF(Order_Details_PBI[[#This Row],[Profit Margine]]=0," Break-Even","Profit"))</f>
        <v>Profit</v>
      </c>
      <c r="I492" s="2">
        <v>43551</v>
      </c>
      <c r="J492" t="s">
        <v>584</v>
      </c>
      <c r="K492" t="str">
        <f>UPPER(List_of_Orders_PBI[[#This Row],[CustomerName]])</f>
        <v>MANJU</v>
      </c>
      <c r="L492" t="s">
        <v>585</v>
      </c>
      <c r="M492" t="s">
        <v>586</v>
      </c>
      <c r="N492" t="str">
        <f>TEXT(List_of_Orders_PBI[[#This Row],[Order Date]],"DD-MMM-YYYY")</f>
        <v>27-Mar-2019</v>
      </c>
      <c r="O492" t="str">
        <f>_xlfn.CONCAT(List_of_Orders_PBI[[#This Row],[City]] &amp;" - "&amp; List_of_Orders_PBI[[#This Row],[State]])</f>
        <v>Hyderabad - Andhra Pradesh</v>
      </c>
    </row>
    <row r="493" spans="1:15" x14ac:dyDescent="0.3">
      <c r="A493" t="s">
        <v>517</v>
      </c>
      <c r="B493">
        <v>97</v>
      </c>
      <c r="C493">
        <v>14</v>
      </c>
      <c r="D493">
        <v>2</v>
      </c>
      <c r="E493" t="s">
        <v>9</v>
      </c>
      <c r="F493" t="s">
        <v>22</v>
      </c>
      <c r="G493">
        <f>Order_Details_PBI[[#This Row],[Profit]]/Order_Details_PBI[[#This Row],[Amount]]</f>
        <v>0.14432989690721648</v>
      </c>
      <c r="H493" t="str">
        <f>IF(Order_Details_PBI[[#This Row],[Profit Margine]]&lt;0," Loss",IF(Order_Details_PBI[[#This Row],[Profit Margine]]=0," Break-Even","Profit"))</f>
        <v>Profit</v>
      </c>
      <c r="I493" s="2">
        <v>43551</v>
      </c>
      <c r="J493" t="s">
        <v>587</v>
      </c>
      <c r="K493" t="str">
        <f>UPPER(List_of_Orders_PBI[[#This Row],[CustomerName]])</f>
        <v>RAMESH</v>
      </c>
      <c r="L493" t="s">
        <v>536</v>
      </c>
      <c r="M493" t="s">
        <v>537</v>
      </c>
      <c r="N493" t="str">
        <f>TEXT(List_of_Orders_PBI[[#This Row],[Order Date]],"DD-MMM-YYYY")</f>
        <v>27-Mar-2019</v>
      </c>
      <c r="O493" t="str">
        <f>_xlfn.CONCAT(List_of_Orders_PBI[[#This Row],[City]] &amp;" - "&amp; List_of_Orders_PBI[[#This Row],[State]])</f>
        <v>Ahmedabad - Gujarat</v>
      </c>
    </row>
    <row r="494" spans="1:15" x14ac:dyDescent="0.3">
      <c r="A494" t="s">
        <v>518</v>
      </c>
      <c r="B494">
        <v>33</v>
      </c>
      <c r="C494">
        <v>-1</v>
      </c>
      <c r="D494">
        <v>1</v>
      </c>
      <c r="E494" t="s">
        <v>9</v>
      </c>
      <c r="F494" t="s">
        <v>16</v>
      </c>
      <c r="G494">
        <f>Order_Details_PBI[[#This Row],[Profit]]/Order_Details_PBI[[#This Row],[Amount]]</f>
        <v>-3.0303030303030304E-2</v>
      </c>
      <c r="H494" t="str">
        <f>IF(Order_Details_PBI[[#This Row],[Profit Margine]]&lt;0," Loss",IF(Order_Details_PBI[[#This Row],[Profit Margine]]=0," Break-Even","Profit"))</f>
        <v xml:space="preserve"> Loss</v>
      </c>
      <c r="I494" s="2">
        <v>43551</v>
      </c>
      <c r="J494" t="s">
        <v>588</v>
      </c>
      <c r="K494" t="str">
        <f>UPPER(List_of_Orders_PBI[[#This Row],[CustomerName]])</f>
        <v>SARITA</v>
      </c>
      <c r="L494" t="s">
        <v>539</v>
      </c>
      <c r="M494" t="s">
        <v>540</v>
      </c>
      <c r="N494" t="str">
        <f>TEXT(List_of_Orders_PBI[[#This Row],[Order Date]],"DD-MMM-YYYY")</f>
        <v>27-Mar-2019</v>
      </c>
      <c r="O494" t="str">
        <f>_xlfn.CONCAT(List_of_Orders_PBI[[#This Row],[City]] &amp;" - "&amp; List_of_Orders_PBI[[#This Row],[State]])</f>
        <v>Pune - Maharashtra</v>
      </c>
    </row>
    <row r="495" spans="1:15" x14ac:dyDescent="0.3">
      <c r="A495" t="s">
        <v>519</v>
      </c>
      <c r="B495">
        <v>152</v>
      </c>
      <c r="C495">
        <v>50</v>
      </c>
      <c r="D495">
        <v>6</v>
      </c>
      <c r="E495" t="s">
        <v>9</v>
      </c>
      <c r="F495" t="s">
        <v>10</v>
      </c>
      <c r="G495">
        <f>Order_Details_PBI[[#This Row],[Profit]]/Order_Details_PBI[[#This Row],[Amount]]</f>
        <v>0.32894736842105265</v>
      </c>
      <c r="H495" t="str">
        <f>IF(Order_Details_PBI[[#This Row],[Profit Margine]]&lt;0," Loss",IF(Order_Details_PBI[[#This Row],[Profit Margine]]=0," Break-Even","Profit"))</f>
        <v>Profit</v>
      </c>
      <c r="I495" s="2">
        <v>43551</v>
      </c>
      <c r="J495" t="s">
        <v>589</v>
      </c>
      <c r="K495" t="str">
        <f>UPPER(List_of_Orders_PBI[[#This Row],[CustomerName]])</f>
        <v>DEEPAK</v>
      </c>
      <c r="L495" t="s">
        <v>542</v>
      </c>
      <c r="M495" t="s">
        <v>543</v>
      </c>
      <c r="N495" t="str">
        <f>TEXT(List_of_Orders_PBI[[#This Row],[Order Date]],"DD-MMM-YYYY")</f>
        <v>27-Mar-2019</v>
      </c>
      <c r="O495" t="str">
        <f>_xlfn.CONCAT(List_of_Orders_PBI[[#This Row],[City]] &amp;" - "&amp; List_of_Orders_PBI[[#This Row],[State]])</f>
        <v>Bhopal - Madhya Pradesh</v>
      </c>
    </row>
    <row r="496" spans="1:15" x14ac:dyDescent="0.3">
      <c r="A496" t="s">
        <v>520</v>
      </c>
      <c r="B496">
        <v>6</v>
      </c>
      <c r="C496">
        <v>1</v>
      </c>
      <c r="D496">
        <v>1</v>
      </c>
      <c r="E496" t="s">
        <v>9</v>
      </c>
      <c r="F496" t="s">
        <v>20</v>
      </c>
      <c r="G496">
        <f>Order_Details_PBI[[#This Row],[Profit]]/Order_Details_PBI[[#This Row],[Amount]]</f>
        <v>0.16666666666666666</v>
      </c>
      <c r="H496" t="str">
        <f>IF(Order_Details_PBI[[#This Row],[Profit Margine]]&lt;0," Loss",IF(Order_Details_PBI[[#This Row],[Profit Margine]]=0," Break-Even","Profit"))</f>
        <v>Profit</v>
      </c>
      <c r="I496" s="2">
        <v>43552</v>
      </c>
      <c r="J496" t="s">
        <v>590</v>
      </c>
      <c r="K496" t="str">
        <f>UPPER(List_of_Orders_PBI[[#This Row],[CustomerName]])</f>
        <v>MONISHA</v>
      </c>
      <c r="L496" t="s">
        <v>545</v>
      </c>
      <c r="M496" t="s">
        <v>546</v>
      </c>
      <c r="N496" t="str">
        <f>TEXT(List_of_Orders_PBI[[#This Row],[Order Date]],"DD-MMM-YYYY")</f>
        <v>28-Mar-2019</v>
      </c>
      <c r="O496" t="str">
        <f>_xlfn.CONCAT(List_of_Orders_PBI[[#This Row],[City]] &amp;" - "&amp; List_of_Orders_PBI[[#This Row],[State]])</f>
        <v>Jaipur - Rajasthan</v>
      </c>
    </row>
    <row r="497" spans="1:15" x14ac:dyDescent="0.3">
      <c r="A497" t="s">
        <v>521</v>
      </c>
      <c r="B497">
        <v>45</v>
      </c>
      <c r="C497">
        <v>9</v>
      </c>
      <c r="D497">
        <v>3</v>
      </c>
      <c r="E497" t="s">
        <v>9</v>
      </c>
      <c r="F497" t="s">
        <v>27</v>
      </c>
      <c r="G497">
        <f>Order_Details_PBI[[#This Row],[Profit]]/Order_Details_PBI[[#This Row],[Amount]]</f>
        <v>0.2</v>
      </c>
      <c r="H497" t="str">
        <f>IF(Order_Details_PBI[[#This Row],[Profit Margine]]&lt;0," Loss",IF(Order_Details_PBI[[#This Row],[Profit Margine]]=0," Break-Even","Profit"))</f>
        <v>Profit</v>
      </c>
      <c r="I497" s="2">
        <v>43552</v>
      </c>
      <c r="J497" t="s">
        <v>591</v>
      </c>
      <c r="K497" t="str">
        <f>UPPER(List_of_Orders_PBI[[#This Row],[CustomerName]])</f>
        <v>ATHARV</v>
      </c>
      <c r="L497" t="s">
        <v>548</v>
      </c>
      <c r="M497" t="s">
        <v>549</v>
      </c>
      <c r="N497" t="str">
        <f>TEXT(List_of_Orders_PBI[[#This Row],[Order Date]],"DD-MMM-YYYY")</f>
        <v>28-Mar-2019</v>
      </c>
      <c r="O497" t="str">
        <f>_xlfn.CONCAT(List_of_Orders_PBI[[#This Row],[City]] &amp;" - "&amp; List_of_Orders_PBI[[#This Row],[State]])</f>
        <v>Kolkata - West Bengal</v>
      </c>
    </row>
    <row r="498" spans="1:15" x14ac:dyDescent="0.3">
      <c r="A498" t="s">
        <v>522</v>
      </c>
      <c r="B498">
        <v>97</v>
      </c>
      <c r="C498">
        <v>12</v>
      </c>
      <c r="D498">
        <v>2</v>
      </c>
      <c r="E498" t="s">
        <v>9</v>
      </c>
      <c r="F498" t="s">
        <v>11</v>
      </c>
      <c r="G498">
        <f>Order_Details_PBI[[#This Row],[Profit]]/Order_Details_PBI[[#This Row],[Amount]]</f>
        <v>0.12371134020618557</v>
      </c>
      <c r="H498" t="str">
        <f>IF(Order_Details_PBI[[#This Row],[Profit Margine]]&lt;0," Loss",IF(Order_Details_PBI[[#This Row],[Profit Margine]]=0," Break-Even","Profit"))</f>
        <v>Profit</v>
      </c>
      <c r="I498" s="2">
        <v>43552</v>
      </c>
      <c r="J498" t="s">
        <v>592</v>
      </c>
      <c r="K498" t="str">
        <f>UPPER(List_of_Orders_PBI[[#This Row],[CustomerName]])</f>
        <v>VINI</v>
      </c>
      <c r="L498" t="s">
        <v>551</v>
      </c>
      <c r="M498" t="s">
        <v>552</v>
      </c>
      <c r="N498" t="str">
        <f>TEXT(List_of_Orders_PBI[[#This Row],[Order Date]],"DD-MMM-YYYY")</f>
        <v>28-Mar-2019</v>
      </c>
      <c r="O498" t="str">
        <f>_xlfn.CONCAT(List_of_Orders_PBI[[#This Row],[City]] &amp;" - "&amp; List_of_Orders_PBI[[#This Row],[State]])</f>
        <v>Bangalore - Karnataka</v>
      </c>
    </row>
    <row r="499" spans="1:15" x14ac:dyDescent="0.3">
      <c r="A499" t="s">
        <v>523</v>
      </c>
      <c r="B499">
        <v>82</v>
      </c>
      <c r="C499">
        <v>8</v>
      </c>
      <c r="D499">
        <v>3</v>
      </c>
      <c r="E499" t="s">
        <v>12</v>
      </c>
      <c r="F499" t="s">
        <v>33</v>
      </c>
      <c r="G499">
        <f>Order_Details_PBI[[#This Row],[Profit]]/Order_Details_PBI[[#This Row],[Amount]]</f>
        <v>9.7560975609756101E-2</v>
      </c>
      <c r="H499" t="str">
        <f>IF(Order_Details_PBI[[#This Row],[Profit Margine]]&lt;0," Loss",IF(Order_Details_PBI[[#This Row],[Profit Margine]]=0," Break-Even","Profit"))</f>
        <v>Profit</v>
      </c>
      <c r="I499" s="2">
        <v>43553</v>
      </c>
      <c r="J499" t="s">
        <v>593</v>
      </c>
      <c r="K499" t="str">
        <f>UPPER(List_of_Orders_PBI[[#This Row],[CustomerName]])</f>
        <v>PINKY</v>
      </c>
      <c r="L499" t="s">
        <v>554</v>
      </c>
      <c r="M499" t="s">
        <v>555</v>
      </c>
      <c r="N499" t="str">
        <f>TEXT(List_of_Orders_PBI[[#This Row],[Order Date]],"DD-MMM-YYYY")</f>
        <v>29-Mar-2019</v>
      </c>
      <c r="O499" t="str">
        <f>_xlfn.CONCAT(List_of_Orders_PBI[[#This Row],[City]] &amp;" - "&amp; List_of_Orders_PBI[[#This Row],[State]])</f>
        <v>Kashmir - Jammu and Kashmir</v>
      </c>
    </row>
    <row r="500" spans="1:15" x14ac:dyDescent="0.3">
      <c r="A500" t="s">
        <v>524</v>
      </c>
      <c r="B500">
        <v>9</v>
      </c>
      <c r="C500">
        <v>3</v>
      </c>
      <c r="D500">
        <v>1</v>
      </c>
      <c r="E500" t="s">
        <v>9</v>
      </c>
      <c r="F500" t="s">
        <v>53</v>
      </c>
      <c r="G500">
        <f>Order_Details_PBI[[#This Row],[Profit]]/Order_Details_PBI[[#This Row],[Amount]]</f>
        <v>0.33333333333333331</v>
      </c>
      <c r="H500" t="str">
        <f>IF(Order_Details_PBI[[#This Row],[Profit Margine]]&lt;0," Loss",IF(Order_Details_PBI[[#This Row],[Profit Margine]]=0," Break-Even","Profit"))</f>
        <v>Profit</v>
      </c>
      <c r="I500" s="2">
        <v>43554</v>
      </c>
      <c r="J500" t="s">
        <v>594</v>
      </c>
      <c r="K500" t="str">
        <f>UPPER(List_of_Orders_PBI[[#This Row],[CustomerName]])</f>
        <v>BHISHM</v>
      </c>
      <c r="L500" t="s">
        <v>539</v>
      </c>
      <c r="M500" t="s">
        <v>595</v>
      </c>
      <c r="N500" t="str">
        <f>TEXT(List_of_Orders_PBI[[#This Row],[Order Date]],"DD-MMM-YYYY")</f>
        <v>30-Mar-2019</v>
      </c>
      <c r="O500" t="str">
        <f>_xlfn.CONCAT(List_of_Orders_PBI[[#This Row],[City]] &amp;" - "&amp; List_of_Orders_PBI[[#This Row],[State]])</f>
        <v>Mumbai - Maharashtra</v>
      </c>
    </row>
    <row r="501" spans="1:15" x14ac:dyDescent="0.3">
      <c r="A501" t="s">
        <v>525</v>
      </c>
      <c r="B501">
        <v>828</v>
      </c>
      <c r="C501">
        <v>230</v>
      </c>
      <c r="D501">
        <v>2</v>
      </c>
      <c r="E501" t="s">
        <v>7</v>
      </c>
      <c r="F501" t="s">
        <v>19</v>
      </c>
      <c r="G501">
        <f>Order_Details_PBI[[#This Row],[Profit]]/Order_Details_PBI[[#This Row],[Amount]]</f>
        <v>0.27777777777777779</v>
      </c>
      <c r="H501" t="str">
        <f>IF(Order_Details_PBI[[#This Row],[Profit Margine]]&lt;0," Loss",IF(Order_Details_PBI[[#This Row],[Profit Margine]]=0," Break-Even","Profit"))</f>
        <v>Profit</v>
      </c>
      <c r="I501" s="2">
        <v>43555</v>
      </c>
      <c r="J501" t="s">
        <v>596</v>
      </c>
      <c r="K501" t="str">
        <f>UPPER(List_of_Orders_PBI[[#This Row],[CustomerName]])</f>
        <v>HITIKA</v>
      </c>
      <c r="L501" t="s">
        <v>542</v>
      </c>
      <c r="M501" t="s">
        <v>597</v>
      </c>
      <c r="N501" t="str">
        <f>TEXT(List_of_Orders_PBI[[#This Row],[Order Date]],"DD-MMM-YYYY")</f>
        <v>31-Mar-2019</v>
      </c>
      <c r="O501" t="str">
        <f>_xlfn.CONCAT(List_of_Orders_PBI[[#This Row],[City]] &amp;" - "&amp; List_of_Orders_PBI[[#This Row],[State]])</f>
        <v>Indore - Madhya Pradesh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241DA-6F1D-4F7E-A807-488CE38E0F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 PBI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TSMT-R- 253</dc:creator>
  <cp:lastModifiedBy>Shaik Sameer</cp:lastModifiedBy>
  <dcterms:created xsi:type="dcterms:W3CDTF">2026-10-20T11:40:52Z</dcterms:created>
  <dcterms:modified xsi:type="dcterms:W3CDTF">2026-10-20T12:50:57Z</dcterms:modified>
</cp:coreProperties>
</file>